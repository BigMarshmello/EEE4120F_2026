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lexhillman/Downloads/"/>
    </mc:Choice>
  </mc:AlternateContent>
  <xr:revisionPtr revIDLastSave="0" documentId="13_ncr:1_{BF852FE8-1AE7-1442-A571-FC6FC7CD4C7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ummary" sheetId="1" r:id="rId1"/>
    <sheet name="Times_MeanStd" sheetId="2" r:id="rId2"/>
    <sheet name="Speedup" sheetId="3" r:id="rId3"/>
  </sheets>
  <definedNames>
    <definedName name="_xlchart.v2.0" hidden="1">Summary!$K$28</definedName>
    <definedName name="_xlchart.v2.1" hidden="1">Summary!$K$29:$K$33</definedName>
    <definedName name="_xlchart.v2.2" hidden="1">Summary!$L$28</definedName>
    <definedName name="_xlchart.v2.3" hidden="1">Summary!$L$29:$L$33</definedName>
    <definedName name="_xlchart.v2.4" hidden="1">Summary!$M$28</definedName>
    <definedName name="_xlchart.v2.5" hidden="1">Summary!$M$29:$M$33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" l="1"/>
  <c r="N9" i="1"/>
  <c r="N10" i="1"/>
  <c r="N7" i="1"/>
  <c r="N6" i="1"/>
  <c r="M8" i="1"/>
  <c r="M9" i="1"/>
  <c r="M10" i="1"/>
  <c r="M7" i="1"/>
  <c r="M6" i="1"/>
  <c r="L8" i="1"/>
  <c r="L9" i="1"/>
  <c r="L10" i="1"/>
  <c r="L7" i="1"/>
  <c r="L6" i="1"/>
  <c r="G26" i="1"/>
  <c r="G25" i="1"/>
  <c r="G24" i="1"/>
  <c r="G23" i="1"/>
  <c r="G22" i="1"/>
  <c r="G18" i="1"/>
  <c r="G17" i="1"/>
  <c r="G16" i="1"/>
  <c r="G15" i="1"/>
  <c r="G14" i="1"/>
  <c r="G10" i="1"/>
  <c r="G9" i="1"/>
  <c r="G8" i="1"/>
  <c r="G7" i="1"/>
  <c r="G6" i="1"/>
</calcChain>
</file>

<file path=xl/sharedStrings.xml><?xml version="1.0" encoding="utf-8"?>
<sst xmlns="http://schemas.openxmlformats.org/spreadsheetml/2006/main" count="39" uniqueCount="21">
  <si>
    <t>Size</t>
  </si>
  <si>
    <t>Speedup_Run1</t>
  </si>
  <si>
    <t>Speedup_Run2</t>
  </si>
  <si>
    <t>Speedup_Run3</t>
  </si>
  <si>
    <t>Manual_Mean_s</t>
  </si>
  <si>
    <t>Manual_Std_s</t>
  </si>
  <si>
    <t>Inbuilt_Mean_s</t>
  </si>
  <si>
    <t>Inbuilt_Std_s</t>
  </si>
  <si>
    <t>Speedup_Mean</t>
  </si>
  <si>
    <t>Speedup_Std</t>
  </si>
  <si>
    <t>Run 1</t>
  </si>
  <si>
    <t>Manual</t>
  </si>
  <si>
    <t>Dev</t>
  </si>
  <si>
    <t>InBuilt</t>
  </si>
  <si>
    <t>speedup</t>
  </si>
  <si>
    <t>Run2</t>
  </si>
  <si>
    <t>Run3</t>
  </si>
  <si>
    <t>Run 1 Speedup</t>
  </si>
  <si>
    <t>Run 2 Speedup</t>
  </si>
  <si>
    <t>Run 3 Speedup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</si>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</sst>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Speedup</a:t>
            </a:r>
            <a:r>
              <a:rPr lang="en-GB" baseline="0"/>
              <a:t> vs Image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Summary!$L$5</c:f>
              <c:strCache>
                <c:ptCount val="1"/>
                <c:pt idx="0">
                  <c:v>Run 1 Speedup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Summary!$K$6:$K$10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Summary!$L$6:$L$10</c:f>
              <c:numCache>
                <c:formatCode>General</c:formatCode>
                <c:ptCount val="5"/>
                <c:pt idx="0">
                  <c:v>62.319391634980981</c:v>
                </c:pt>
                <c:pt idx="1">
                  <c:v>139.72283813747228</c:v>
                </c:pt>
                <c:pt idx="2">
                  <c:v>188.82859338970022</c:v>
                </c:pt>
                <c:pt idx="3">
                  <c:v>207.12796610169491</c:v>
                </c:pt>
                <c:pt idx="4">
                  <c:v>336.07385914006858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DE-884E-84BD-0C4198330130}"/>
            </c:ext>
          </c:extLst>
        </c:ser>
        <c:ser>
          <c:idx val="1"/>
          <c:order val="1"/>
          <c:tx>
            <c:strRef>
              <c:f>Summary!$M$5</c:f>
              <c:strCache>
                <c:ptCount val="1"/>
                <c:pt idx="0">
                  <c:v>Run 2 Speedup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Summary!$K$6:$K$10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Summary!$M$6:$M$10</c:f>
              <c:numCache>
                <c:formatCode>General</c:formatCode>
                <c:ptCount val="5"/>
                <c:pt idx="0">
                  <c:v>85.297297297297291</c:v>
                </c:pt>
                <c:pt idx="1">
                  <c:v>132.09070796460179</c:v>
                </c:pt>
                <c:pt idx="2">
                  <c:v>340.25106990014268</c:v>
                </c:pt>
                <c:pt idx="3">
                  <c:v>429.73700577521106</c:v>
                </c:pt>
                <c:pt idx="4">
                  <c:v>311.80157962604773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DE-884E-84BD-0C4198330130}"/>
            </c:ext>
          </c:extLst>
        </c:ser>
        <c:ser>
          <c:idx val="2"/>
          <c:order val="2"/>
          <c:tx>
            <c:strRef>
              <c:f>Summary!$N$5</c:f>
              <c:strCache>
                <c:ptCount val="1"/>
                <c:pt idx="0">
                  <c:v>Run 3 Speedup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Summary!$K$6:$K$10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Summary!$N$6:$N$10</c:f>
              <c:numCache>
                <c:formatCode>General</c:formatCode>
                <c:ptCount val="5"/>
                <c:pt idx="0">
                  <c:v>81.779487179487177</c:v>
                </c:pt>
                <c:pt idx="1">
                  <c:v>159.01063829787236</c:v>
                </c:pt>
                <c:pt idx="2">
                  <c:v>290.54894671623293</c:v>
                </c:pt>
                <c:pt idx="3">
                  <c:v>428.27248079530051</c:v>
                </c:pt>
                <c:pt idx="4">
                  <c:v>345.49147092971333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DE-884E-84BD-0C4198330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257023"/>
        <c:axId val="910850495"/>
      </c:scatterChart>
      <c:valAx>
        <c:axId val="914257023"/>
        <c:scaling>
          <c:logBase val="10"/>
          <c:orientation val="minMax"/>
          <c:max val="2048"/>
          <c:min val="12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850495"/>
        <c:crosses val="autoZero"/>
        <c:crossBetween val="midCat"/>
      </c:valAx>
      <c:valAx>
        <c:axId val="91085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257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Execution</a:t>
            </a:r>
            <a:r>
              <a:rPr lang="en-GB" baseline="0"/>
              <a:t> Time vs Image Size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Summary!$L$28</c:f>
              <c:strCache>
                <c:ptCount val="1"/>
                <c:pt idx="0">
                  <c:v>Manual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Summary!$K$29:$K$33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Summary!$L$29:$L$33</c:f>
              <c:numCache>
                <c:formatCode>General</c:formatCode>
                <c:ptCount val="5"/>
                <c:pt idx="0">
                  <c:v>1.5779999999999999E-2</c:v>
                </c:pt>
                <c:pt idx="1">
                  <c:v>5.9705000000000001E-2</c:v>
                </c:pt>
                <c:pt idx="2">
                  <c:v>0.23851600000000001</c:v>
                </c:pt>
                <c:pt idx="3">
                  <c:v>0.96733800000000003</c:v>
                </c:pt>
                <c:pt idx="4">
                  <c:v>3.8688340000000001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9D-9B4F-8A93-4489FEFCF488}"/>
            </c:ext>
          </c:extLst>
        </c:ser>
        <c:ser>
          <c:idx val="1"/>
          <c:order val="1"/>
          <c:tx>
            <c:strRef>
              <c:f>Summary!$M$28</c:f>
              <c:strCache>
                <c:ptCount val="1"/>
                <c:pt idx="0">
                  <c:v>InBuilt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Summary!$K$29:$K$33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Summary!$M$29:$M$33</c:f>
              <c:numCache>
                <c:formatCode>General</c:formatCode>
                <c:ptCount val="5"/>
                <c:pt idx="0">
                  <c:v>1.85E-4</c:v>
                </c:pt>
                <c:pt idx="1">
                  <c:v>4.5199999999999998E-4</c:v>
                </c:pt>
                <c:pt idx="2">
                  <c:v>7.0100000000000002E-4</c:v>
                </c:pt>
                <c:pt idx="3">
                  <c:v>2.251E-3</c:v>
                </c:pt>
                <c:pt idx="4">
                  <c:v>1.2408000000000001E-2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9D-9B4F-8A93-4489FEFCF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989439"/>
        <c:axId val="940991679"/>
      </c:scatterChart>
      <c:valAx>
        <c:axId val="940989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991679"/>
        <c:crosses val="autoZero"/>
        <c:crossBetween val="midCat"/>
      </c:valAx>
      <c:valAx>
        <c:axId val="94099167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9894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552504</xdr:colOff>
      <xdr:row>11</xdr:row>
      <xdr:rowOff>175194</xdr:rowOff>
    </xdr:from>
    <xdr:to>
      <xdr:col>13</xdr:col>
      <xdr:colOff>912880</xdr:colOff>
      <xdr:row>25</xdr:row>
      <xdr:rowOff>183010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E4052C-1F98-06F5-683B-E24DC1D66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1137228</xdr:colOff>
      <xdr:row>11</xdr:row>
      <xdr:rowOff>146627</xdr:rowOff>
    </xdr:from>
    <xdr:to>
      <xdr:col>20</xdr:col>
      <xdr:colOff>317500</xdr:colOff>
      <xdr:row>25</xdr:row>
      <xdr:rowOff>142009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7EFAA7-6D84-0242-429D-962FB540F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81" workbookViewId="0">
      <selection activeCell="L36" sqref="L36"/>
    </sheetView>
  </sheetViews>
  <sheetFormatPr baseColWidth="10" defaultColWidth="8.83203125" defaultRowHeight="15" x14ac:dyDescent="0.2"/>
  <cols>
    <col min="2" max="4" width="9" bestFit="1" customWidth="1"/>
    <col min="5" max="5" width="9.33203125" bestFit="1" customWidth="1"/>
    <col min="6" max="6" width="9.1640625" bestFit="1" customWidth="1"/>
    <col min="7" max="7" width="9" bestFit="1" customWidth="1"/>
    <col min="12" max="12" width="20.1640625" customWidth="1"/>
    <col min="13" max="13" width="17.33203125" customWidth="1"/>
    <col min="14" max="14" width="15.1640625" customWidth="1"/>
    <col min="15" max="15" width="11.6640625" customWidth="1"/>
  </cols>
  <sheetData>
    <row r="1" spans="1:1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4" spans="1:16" x14ac:dyDescent="0.2">
      <c r="B4" t="s">
        <v>10</v>
      </c>
    </row>
    <row r="5" spans="1:16" x14ac:dyDescent="0.2">
      <c r="B5" t="s">
        <v>0</v>
      </c>
      <c r="C5" t="s">
        <v>11</v>
      </c>
      <c r="D5" t="s">
        <v>20</v>
      </c>
      <c r="E5" t="s">
        <v>13</v>
      </c>
      <c r="F5" t="s">
        <v>20</v>
      </c>
      <c r="G5" t="s">
        <v>14</v>
      </c>
      <c r="K5" t="s">
        <v>0</v>
      </c>
      <c r="L5" t="s">
        <v>17</v>
      </c>
      <c r="M5" t="s">
        <v>18</v>
      </c>
      <c r="N5" t="s">
        <v>19</v>
      </c>
    </row>
    <row r="6" spans="1:16" x14ac:dyDescent="0.2">
      <c r="B6">
        <v>128</v>
      </c>
      <c r="C6">
        <v>1.6389999999999998E-2</v>
      </c>
      <c r="D6">
        <v>5.22E-4</v>
      </c>
      <c r="E6">
        <v>2.63E-4</v>
      </c>
      <c r="F6">
        <v>4.8999999999999998E-5</v>
      </c>
      <c r="G6">
        <f>C6/E6</f>
        <v>62.319391634980981</v>
      </c>
      <c r="K6">
        <v>128</v>
      </c>
      <c r="L6">
        <f>G6</f>
        <v>62.319391634980981</v>
      </c>
      <c r="M6">
        <f>G14</f>
        <v>85.297297297297291</v>
      </c>
      <c r="N6">
        <f>G22</f>
        <v>81.779487179487177</v>
      </c>
    </row>
    <row r="7" spans="1:16" x14ac:dyDescent="0.2">
      <c r="B7">
        <v>256</v>
      </c>
      <c r="C7">
        <v>6.3015000000000002E-2</v>
      </c>
      <c r="D7">
        <v>6.8180000000000003E-3</v>
      </c>
      <c r="E7">
        <v>4.5100000000000001E-4</v>
      </c>
      <c r="F7">
        <v>1.8E-5</v>
      </c>
      <c r="G7">
        <f>C7/E7</f>
        <v>139.72283813747228</v>
      </c>
      <c r="K7">
        <v>256</v>
      </c>
      <c r="L7">
        <f>G7</f>
        <v>139.72283813747228</v>
      </c>
      <c r="M7">
        <f>G15</f>
        <v>132.09070796460179</v>
      </c>
      <c r="N7">
        <f>G23</f>
        <v>159.01063829787236</v>
      </c>
    </row>
    <row r="8" spans="1:16" x14ac:dyDescent="0.2">
      <c r="B8">
        <v>512</v>
      </c>
      <c r="C8">
        <v>0.245666</v>
      </c>
      <c r="D8">
        <v>8.9759999999999996E-3</v>
      </c>
      <c r="E8">
        <v>1.3010000000000001E-3</v>
      </c>
      <c r="F8">
        <v>6.7000000000000002E-5</v>
      </c>
      <c r="G8">
        <f>C8/E8</f>
        <v>188.82859338970022</v>
      </c>
      <c r="K8">
        <v>512</v>
      </c>
      <c r="L8">
        <f t="shared" ref="L8:L10" si="0">G8</f>
        <v>188.82859338970022</v>
      </c>
      <c r="M8">
        <f t="shared" ref="M8:M10" si="1">G16</f>
        <v>340.25106990014268</v>
      </c>
      <c r="N8">
        <f t="shared" ref="N8:N10" si="2">G24</f>
        <v>290.54894671623293</v>
      </c>
    </row>
    <row r="9" spans="1:16" x14ac:dyDescent="0.2">
      <c r="B9">
        <v>1024</v>
      </c>
      <c r="C9">
        <v>0.97764399999999996</v>
      </c>
      <c r="D9">
        <v>5.1770999999999998E-2</v>
      </c>
      <c r="E9">
        <v>4.7200000000000002E-3</v>
      </c>
      <c r="F9">
        <v>2.5900000000000001E-4</v>
      </c>
      <c r="G9">
        <f>C9/E9</f>
        <v>207.12796610169491</v>
      </c>
      <c r="K9">
        <v>1024</v>
      </c>
      <c r="L9">
        <f t="shared" si="0"/>
        <v>207.12796610169491</v>
      </c>
      <c r="M9">
        <f t="shared" si="1"/>
        <v>429.73700577521106</v>
      </c>
      <c r="N9">
        <f t="shared" si="2"/>
        <v>428.27248079530051</v>
      </c>
    </row>
    <row r="10" spans="1:16" x14ac:dyDescent="0.2">
      <c r="B10">
        <v>2048</v>
      </c>
      <c r="C10">
        <v>3.822168</v>
      </c>
      <c r="D10">
        <v>4.3298000000000003E-2</v>
      </c>
      <c r="E10">
        <v>1.1372999999999999E-2</v>
      </c>
      <c r="F10">
        <v>2.8499999999999999E-4</v>
      </c>
      <c r="G10">
        <f>C10/E10</f>
        <v>336.07385914006858</v>
      </c>
      <c r="K10">
        <v>2048</v>
      </c>
      <c r="L10">
        <f t="shared" si="0"/>
        <v>336.07385914006858</v>
      </c>
      <c r="M10">
        <f t="shared" si="1"/>
        <v>311.80157962604773</v>
      </c>
      <c r="N10">
        <f t="shared" si="2"/>
        <v>345.49147092971333</v>
      </c>
    </row>
    <row r="12" spans="1:16" x14ac:dyDescent="0.2">
      <c r="B12" t="s">
        <v>15</v>
      </c>
    </row>
    <row r="13" spans="1:16" x14ac:dyDescent="0.2">
      <c r="B13" t="s">
        <v>0</v>
      </c>
      <c r="C13" t="s">
        <v>11</v>
      </c>
      <c r="D13" t="s">
        <v>12</v>
      </c>
      <c r="E13" t="s">
        <v>13</v>
      </c>
      <c r="F13" t="s">
        <v>12</v>
      </c>
      <c r="G13" t="s">
        <v>14</v>
      </c>
    </row>
    <row r="14" spans="1:16" x14ac:dyDescent="0.2">
      <c r="B14">
        <v>128</v>
      </c>
      <c r="C14">
        <v>1.5779999999999999E-2</v>
      </c>
      <c r="D14">
        <v>2.0799999999999999E-4</v>
      </c>
      <c r="E14">
        <v>1.85E-4</v>
      </c>
      <c r="F14">
        <v>3.8999999999999999E-5</v>
      </c>
      <c r="G14">
        <f>C14/E14</f>
        <v>85.297297297297291</v>
      </c>
    </row>
    <row r="15" spans="1:16" x14ac:dyDescent="0.2">
      <c r="B15">
        <v>256</v>
      </c>
      <c r="C15">
        <v>5.9705000000000001E-2</v>
      </c>
      <c r="D15">
        <v>9.4700000000000003E-4</v>
      </c>
      <c r="E15">
        <v>4.5199999999999998E-4</v>
      </c>
      <c r="F15">
        <v>4.8000000000000001E-5</v>
      </c>
      <c r="G15">
        <f>C15/E15</f>
        <v>132.09070796460179</v>
      </c>
    </row>
    <row r="16" spans="1:16" x14ac:dyDescent="0.2">
      <c r="B16">
        <v>512</v>
      </c>
      <c r="C16">
        <v>0.23851600000000001</v>
      </c>
      <c r="D16">
        <v>4.9020000000000001E-3</v>
      </c>
      <c r="E16">
        <v>7.0100000000000002E-4</v>
      </c>
      <c r="F16">
        <v>1.27E-4</v>
      </c>
      <c r="G16">
        <f>C16/E16</f>
        <v>340.25106990014268</v>
      </c>
    </row>
    <row r="17" spans="2:13" x14ac:dyDescent="0.2">
      <c r="B17">
        <v>1024</v>
      </c>
      <c r="C17">
        <v>0.96733800000000003</v>
      </c>
      <c r="D17">
        <v>2.7965E-2</v>
      </c>
      <c r="E17">
        <v>2.251E-3</v>
      </c>
      <c r="F17">
        <v>6.2000000000000003E-5</v>
      </c>
      <c r="G17">
        <f>C17/E17</f>
        <v>429.73700577521106</v>
      </c>
    </row>
    <row r="18" spans="2:13" x14ac:dyDescent="0.2">
      <c r="B18">
        <v>2048</v>
      </c>
      <c r="C18">
        <v>3.8688340000000001</v>
      </c>
      <c r="D18">
        <v>5.8916999999999997E-2</v>
      </c>
      <c r="E18">
        <v>1.2408000000000001E-2</v>
      </c>
      <c r="F18">
        <v>7.94E-4</v>
      </c>
      <c r="G18">
        <f>C18/E18</f>
        <v>311.80157962604773</v>
      </c>
    </row>
    <row r="20" spans="2:13" x14ac:dyDescent="0.2">
      <c r="B20" t="s">
        <v>16</v>
      </c>
    </row>
    <row r="21" spans="2:13" x14ac:dyDescent="0.2">
      <c r="B21" t="s">
        <v>0</v>
      </c>
      <c r="C21" t="s">
        <v>11</v>
      </c>
      <c r="D21" t="s">
        <v>12</v>
      </c>
      <c r="E21" t="s">
        <v>13</v>
      </c>
      <c r="F21" t="s">
        <v>12</v>
      </c>
      <c r="G21" t="s">
        <v>14</v>
      </c>
    </row>
    <row r="22" spans="2:13" x14ac:dyDescent="0.2">
      <c r="B22">
        <v>128</v>
      </c>
      <c r="C22">
        <v>1.5946999999999999E-2</v>
      </c>
      <c r="D22">
        <v>5.1400000000000003E-4</v>
      </c>
      <c r="E22">
        <v>1.95E-4</v>
      </c>
      <c r="F22">
        <v>2.0000000000000002E-5</v>
      </c>
      <c r="G22">
        <f>C22/E22</f>
        <v>81.779487179487177</v>
      </c>
    </row>
    <row r="23" spans="2:13" x14ac:dyDescent="0.2">
      <c r="B23">
        <v>256</v>
      </c>
      <c r="C23">
        <v>5.9788000000000001E-2</v>
      </c>
      <c r="D23">
        <v>8.2899999999999998E-4</v>
      </c>
      <c r="E23">
        <v>3.7599999999999998E-4</v>
      </c>
      <c r="F23">
        <v>1.9100000000000001E-4</v>
      </c>
      <c r="G23">
        <f>C23/E23</f>
        <v>159.01063829787236</v>
      </c>
    </row>
    <row r="24" spans="2:13" x14ac:dyDescent="0.2">
      <c r="B24">
        <v>512</v>
      </c>
      <c r="C24">
        <v>0.23447299999999999</v>
      </c>
      <c r="D24">
        <v>1.941E-3</v>
      </c>
      <c r="E24">
        <v>8.0699999999999999E-4</v>
      </c>
      <c r="F24">
        <v>2.1900000000000001E-4</v>
      </c>
      <c r="G24">
        <f>C24/E24</f>
        <v>290.54894671623293</v>
      </c>
    </row>
    <row r="25" spans="2:13" x14ac:dyDescent="0.2">
      <c r="B25">
        <v>1024</v>
      </c>
      <c r="C25">
        <v>0.94776700000000003</v>
      </c>
      <c r="D25">
        <v>1.6962999999999999E-2</v>
      </c>
      <c r="E25">
        <v>2.2130000000000001E-3</v>
      </c>
      <c r="F25">
        <v>6.3E-5</v>
      </c>
      <c r="G25">
        <f>C25/E25</f>
        <v>428.27248079530051</v>
      </c>
    </row>
    <row r="26" spans="2:13" x14ac:dyDescent="0.2">
      <c r="B26">
        <v>2048</v>
      </c>
      <c r="C26">
        <v>3.868468</v>
      </c>
      <c r="D26">
        <v>0.13813600000000001</v>
      </c>
      <c r="E26">
        <v>1.1197E-2</v>
      </c>
      <c r="F26">
        <v>1.7899999999999999E-4</v>
      </c>
      <c r="G26">
        <f>C26/E26</f>
        <v>345.49147092971333</v>
      </c>
    </row>
    <row r="28" spans="2:13" x14ac:dyDescent="0.2">
      <c r="K28" t="s">
        <v>0</v>
      </c>
      <c r="L28" t="s">
        <v>11</v>
      </c>
      <c r="M28" t="s">
        <v>13</v>
      </c>
    </row>
    <row r="29" spans="2:13" x14ac:dyDescent="0.2">
      <c r="K29">
        <v>128</v>
      </c>
      <c r="L29">
        <v>1.5779999999999999E-2</v>
      </c>
      <c r="M29">
        <v>1.85E-4</v>
      </c>
    </row>
    <row r="30" spans="2:13" x14ac:dyDescent="0.2">
      <c r="K30">
        <v>256</v>
      </c>
      <c r="L30">
        <v>5.9705000000000001E-2</v>
      </c>
      <c r="M30">
        <v>4.5199999999999998E-4</v>
      </c>
    </row>
    <row r="31" spans="2:13" x14ac:dyDescent="0.2">
      <c r="K31">
        <v>512</v>
      </c>
      <c r="L31">
        <v>0.23851600000000001</v>
      </c>
      <c r="M31">
        <v>7.0100000000000002E-4</v>
      </c>
    </row>
    <row r="32" spans="2:13" x14ac:dyDescent="0.2">
      <c r="K32">
        <v>1024</v>
      </c>
      <c r="L32">
        <v>0.96733800000000003</v>
      </c>
      <c r="M32">
        <v>2.251E-3</v>
      </c>
    </row>
    <row r="33" spans="11:13" x14ac:dyDescent="0.2">
      <c r="K33">
        <v>2048</v>
      </c>
      <c r="L33">
        <v>3.8688340000000001</v>
      </c>
      <c r="M33">
        <v>1.2408000000000001E-2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">
      <c r="A2">
        <v>128</v>
      </c>
      <c r="B2">
        <v>1.6039000000000001E-2</v>
      </c>
      <c r="C2">
        <v>3.1523483310065808E-4</v>
      </c>
      <c r="D2">
        <v>2.143333333333333E-4</v>
      </c>
      <c r="E2">
        <v>4.2442117446392013E-5</v>
      </c>
    </row>
    <row r="3" spans="1:5" x14ac:dyDescent="0.2">
      <c r="A3">
        <v>256</v>
      </c>
      <c r="B3">
        <v>6.0836000000000001E-2</v>
      </c>
      <c r="C3">
        <v>1.887525628965075E-3</v>
      </c>
      <c r="D3">
        <v>4.2633333333333331E-4</v>
      </c>
      <c r="E3">
        <v>4.3592812863284399E-5</v>
      </c>
    </row>
    <row r="4" spans="1:5" x14ac:dyDescent="0.2">
      <c r="A4">
        <v>512</v>
      </c>
      <c r="B4">
        <v>0.23955166666666669</v>
      </c>
      <c r="C4">
        <v>5.6679155192480924E-3</v>
      </c>
      <c r="D4">
        <v>9.363333333333334E-4</v>
      </c>
      <c r="E4">
        <v>3.2022700281727243E-4</v>
      </c>
    </row>
    <row r="5" spans="1:5" x14ac:dyDescent="0.2">
      <c r="A5">
        <v>1024</v>
      </c>
      <c r="B5">
        <v>0.96424966666666678</v>
      </c>
      <c r="C5">
        <v>1.517603816328005E-2</v>
      </c>
      <c r="D5">
        <v>3.061333333333333E-3</v>
      </c>
      <c r="E5">
        <v>1.43657312147114E-3</v>
      </c>
    </row>
    <row r="6" spans="1:5" x14ac:dyDescent="0.2">
      <c r="A6">
        <v>2048</v>
      </c>
      <c r="B6">
        <v>3.853156666666667</v>
      </c>
      <c r="C6">
        <v>2.683759648950209E-2</v>
      </c>
      <c r="D6">
        <v>1.1659333333333331E-2</v>
      </c>
      <c r="E6">
        <v>6.5430905032204303E-4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</row>
    <row r="2" spans="1:6" x14ac:dyDescent="0.2">
      <c r="A2">
        <v>128</v>
      </c>
      <c r="B2">
        <v>76.437779333333324</v>
      </c>
      <c r="C2">
        <v>12.43212726375226</v>
      </c>
      <c r="D2">
        <v>62.217829000000002</v>
      </c>
      <c r="E2">
        <v>85.251441</v>
      </c>
      <c r="F2">
        <v>81.844067999999993</v>
      </c>
    </row>
    <row r="3" spans="1:6" x14ac:dyDescent="0.2">
      <c r="A3">
        <v>256</v>
      </c>
      <c r="B3">
        <v>143.48350366666671</v>
      </c>
      <c r="C3">
        <v>13.889524373290341</v>
      </c>
      <c r="D3">
        <v>139.59985599999999</v>
      </c>
      <c r="E3">
        <v>131.94916900000001</v>
      </c>
      <c r="F3">
        <v>158.90148600000001</v>
      </c>
    </row>
    <row r="4" spans="1:6" x14ac:dyDescent="0.2">
      <c r="A4">
        <v>512</v>
      </c>
      <c r="B4">
        <v>273.25417099999999</v>
      </c>
      <c r="C4">
        <v>77.312224826634704</v>
      </c>
      <c r="D4">
        <v>188.775012</v>
      </c>
      <c r="E4">
        <v>340.48642699999999</v>
      </c>
      <c r="F4">
        <v>290.50107400000002</v>
      </c>
    </row>
    <row r="5" spans="1:6" x14ac:dyDescent="0.2">
      <c r="A5">
        <v>1024</v>
      </c>
      <c r="B5">
        <v>355.05895133333343</v>
      </c>
      <c r="C5">
        <v>128.0978600549962</v>
      </c>
      <c r="D5">
        <v>207.14659</v>
      </c>
      <c r="E5">
        <v>429.73051600000002</v>
      </c>
      <c r="F5">
        <v>428.29974800000002</v>
      </c>
    </row>
    <row r="6" spans="1:6" x14ac:dyDescent="0.2">
      <c r="A6">
        <v>2048</v>
      </c>
      <c r="B6">
        <v>331.12746166666659</v>
      </c>
      <c r="C6">
        <v>17.384327154947819</v>
      </c>
      <c r="D6">
        <v>336.08421199999998</v>
      </c>
      <c r="E6">
        <v>311.80308400000001</v>
      </c>
      <c r="F6">
        <v>345.49508900000001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Times_MeanStd</vt:lpstr>
      <vt:lpstr>Speedup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Hillman</cp:lastModifiedBy>
  <dcterms:created xsi:type="dcterms:W3CDTF">2026-02-26T21:11:38Z</dcterms:created>
  <dcterms:modified xsi:type="dcterms:W3CDTF">2026-02-26T23:49:24Z</dcterms:modified>
</cp:coreProperties>
</file>