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 Workj\HPES_Prac\EEE4120F_2026\Practical 2\"/>
    </mc:Choice>
  </mc:AlternateContent>
  <xr:revisionPtr revIDLastSave="0" documentId="13_ncr:1_{83C8BC05-9A64-4F93-B8E3-91F8FA2DF02F}" xr6:coauthVersionLast="47" xr6:coauthVersionMax="47" xr10:uidLastSave="{00000000-0000-0000-0000-000000000000}"/>
  <bookViews>
    <workbookView xWindow="-120" yWindow="-120" windowWidth="29040" windowHeight="15720" xr2:uid="{B5D5FD34-6E68-400B-88C3-A59BD5115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1" l="1"/>
  <c r="O108" i="1"/>
  <c r="O107" i="1"/>
  <c r="O106" i="1"/>
  <c r="O105" i="1"/>
  <c r="O104" i="1"/>
  <c r="O103" i="1"/>
  <c r="O102" i="1"/>
  <c r="O99" i="1"/>
  <c r="O98" i="1"/>
  <c r="O97" i="1"/>
  <c r="O96" i="1"/>
  <c r="O95" i="1"/>
  <c r="O94" i="1"/>
  <c r="O93" i="1"/>
  <c r="O92" i="1"/>
  <c r="O90" i="1"/>
  <c r="O89" i="1"/>
  <c r="O88" i="1"/>
  <c r="O87" i="1"/>
  <c r="O86" i="1"/>
  <c r="O85" i="1"/>
  <c r="O84" i="1"/>
  <c r="O83" i="1"/>
  <c r="O81" i="1"/>
  <c r="O80" i="1"/>
  <c r="O79" i="1"/>
  <c r="O78" i="1"/>
  <c r="O77" i="1"/>
  <c r="O76" i="1"/>
  <c r="O75" i="1"/>
  <c r="O74" i="1"/>
  <c r="O72" i="1"/>
  <c r="O71" i="1"/>
  <c r="O70" i="1"/>
  <c r="O69" i="1"/>
  <c r="O68" i="1"/>
  <c r="O67" i="1"/>
  <c r="O66" i="1"/>
  <c r="O65" i="1"/>
  <c r="O63" i="1"/>
  <c r="O62" i="1"/>
  <c r="O61" i="1"/>
  <c r="O60" i="1"/>
  <c r="O59" i="1"/>
  <c r="O58" i="1"/>
  <c r="O57" i="1"/>
  <c r="O56" i="1"/>
  <c r="O54" i="1"/>
  <c r="O53" i="1"/>
  <c r="O52" i="1"/>
  <c r="O51" i="1"/>
  <c r="O50" i="1"/>
  <c r="O49" i="1"/>
  <c r="O48" i="1"/>
  <c r="O47" i="1"/>
  <c r="O45" i="1"/>
  <c r="O44" i="1"/>
  <c r="O43" i="1"/>
  <c r="O42" i="1"/>
  <c r="O41" i="1"/>
  <c r="O40" i="1"/>
  <c r="O39" i="1"/>
  <c r="O38" i="1"/>
  <c r="O36" i="1"/>
  <c r="O35" i="1"/>
  <c r="O34" i="1"/>
  <c r="O33" i="1"/>
  <c r="O32" i="1"/>
  <c r="O31" i="1"/>
  <c r="O30" i="1"/>
  <c r="O29" i="1"/>
  <c r="O27" i="1"/>
  <c r="O26" i="1"/>
  <c r="O25" i="1"/>
  <c r="O24" i="1"/>
  <c r="O23" i="1"/>
  <c r="O22" i="1"/>
  <c r="O21" i="1"/>
  <c r="O20" i="1"/>
  <c r="O12" i="1"/>
  <c r="O13" i="1"/>
  <c r="O14" i="1"/>
  <c r="O15" i="1"/>
  <c r="O16" i="1"/>
  <c r="O17" i="1"/>
  <c r="O18" i="1"/>
  <c r="O11" i="1"/>
  <c r="N108" i="1"/>
  <c r="N107" i="1"/>
  <c r="N106" i="1"/>
  <c r="N105" i="1"/>
  <c r="N104" i="1"/>
  <c r="N103" i="1"/>
  <c r="N102" i="1"/>
  <c r="N101" i="1"/>
  <c r="N99" i="1"/>
  <c r="N98" i="1"/>
  <c r="N97" i="1"/>
  <c r="N96" i="1"/>
  <c r="N95" i="1"/>
  <c r="N94" i="1"/>
  <c r="N93" i="1"/>
  <c r="N92" i="1"/>
  <c r="N90" i="1"/>
  <c r="N89" i="1"/>
  <c r="N88" i="1"/>
  <c r="N87" i="1"/>
  <c r="N86" i="1"/>
  <c r="N85" i="1"/>
  <c r="N84" i="1"/>
  <c r="N83" i="1"/>
  <c r="N81" i="1"/>
  <c r="N80" i="1"/>
  <c r="N79" i="1"/>
  <c r="N78" i="1"/>
  <c r="N77" i="1"/>
  <c r="N76" i="1"/>
  <c r="N75" i="1"/>
  <c r="N74" i="1"/>
  <c r="N72" i="1"/>
  <c r="N71" i="1"/>
  <c r="N70" i="1"/>
  <c r="N69" i="1"/>
  <c r="N68" i="1"/>
  <c r="N67" i="1"/>
  <c r="N66" i="1"/>
  <c r="N65" i="1"/>
  <c r="N63" i="1"/>
  <c r="N62" i="1"/>
  <c r="N61" i="1"/>
  <c r="N60" i="1"/>
  <c r="N59" i="1"/>
  <c r="N58" i="1"/>
  <c r="N57" i="1"/>
  <c r="N56" i="1"/>
  <c r="N54" i="1"/>
  <c r="N53" i="1"/>
  <c r="N52" i="1"/>
  <c r="N51" i="1"/>
  <c r="N50" i="1"/>
  <c r="N49" i="1"/>
  <c r="N48" i="1"/>
  <c r="N47" i="1"/>
  <c r="N45" i="1"/>
  <c r="N44" i="1"/>
  <c r="N43" i="1"/>
  <c r="N42" i="1"/>
  <c r="N41" i="1"/>
  <c r="N40" i="1"/>
  <c r="N39" i="1"/>
  <c r="N38" i="1"/>
  <c r="N36" i="1"/>
  <c r="N35" i="1"/>
  <c r="N34" i="1"/>
  <c r="N33" i="1"/>
  <c r="N32" i="1"/>
  <c r="N31" i="1"/>
  <c r="N30" i="1"/>
  <c r="N29" i="1"/>
  <c r="N27" i="1"/>
  <c r="N26" i="1"/>
  <c r="N25" i="1"/>
  <c r="N24" i="1"/>
  <c r="N23" i="1"/>
  <c r="N22" i="1"/>
  <c r="N21" i="1"/>
  <c r="N20" i="1"/>
  <c r="N18" i="1"/>
  <c r="N17" i="1"/>
  <c r="N16" i="1"/>
  <c r="N15" i="1"/>
  <c r="N14" i="1"/>
  <c r="N13" i="1"/>
  <c r="N12" i="1"/>
  <c r="N11" i="1"/>
  <c r="M11" i="1"/>
  <c r="M12" i="1"/>
  <c r="M13" i="1"/>
  <c r="M14" i="1"/>
  <c r="M15" i="1"/>
  <c r="M16" i="1"/>
  <c r="M17" i="1"/>
  <c r="M18" i="1"/>
  <c r="M20" i="1"/>
  <c r="M21" i="1"/>
  <c r="M22" i="1"/>
  <c r="M23" i="1"/>
  <c r="M24" i="1"/>
  <c r="M25" i="1"/>
  <c r="M26" i="1"/>
  <c r="M27" i="1"/>
  <c r="M29" i="1"/>
  <c r="M30" i="1"/>
  <c r="M31" i="1"/>
  <c r="M32" i="1"/>
  <c r="M33" i="1"/>
  <c r="M34" i="1"/>
  <c r="M35" i="1"/>
  <c r="M36" i="1"/>
  <c r="M38" i="1"/>
  <c r="M39" i="1"/>
  <c r="M40" i="1"/>
  <c r="M41" i="1"/>
  <c r="M42" i="1"/>
  <c r="M43" i="1"/>
  <c r="M44" i="1"/>
  <c r="M45" i="1"/>
  <c r="M47" i="1"/>
  <c r="M48" i="1"/>
  <c r="M49" i="1"/>
  <c r="M50" i="1"/>
  <c r="M51" i="1"/>
  <c r="M52" i="1"/>
  <c r="M53" i="1"/>
  <c r="M54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4" i="1"/>
  <c r="M75" i="1"/>
  <c r="M76" i="1"/>
  <c r="M77" i="1"/>
  <c r="M78" i="1"/>
  <c r="M79" i="1"/>
  <c r="M80" i="1"/>
  <c r="M81" i="1"/>
  <c r="M83" i="1"/>
  <c r="M84" i="1"/>
  <c r="M85" i="1"/>
  <c r="M86" i="1"/>
  <c r="M87" i="1"/>
  <c r="M88" i="1"/>
  <c r="M89" i="1"/>
  <c r="M90" i="1"/>
  <c r="M92" i="1"/>
  <c r="M93" i="1"/>
  <c r="M94" i="1"/>
  <c r="M95" i="1"/>
  <c r="M96" i="1"/>
  <c r="M97" i="1"/>
  <c r="M98" i="1"/>
  <c r="M99" i="1"/>
  <c r="M101" i="1"/>
  <c r="M102" i="1"/>
  <c r="M103" i="1"/>
  <c r="M104" i="1"/>
  <c r="M105" i="1"/>
  <c r="M106" i="1"/>
  <c r="M107" i="1"/>
  <c r="M108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<sst xmlns="http://schemas.openxmlformats.org/spreadsheetml/2006/main" count="111" uniqueCount="23">
  <si>
    <t>ImageSize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</si>
  <si>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</si>
  <si>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</si>
  <si>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</si>
  <si>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</si>
  <si>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</si>
  <si>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</si>
  <si>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</si>
  <si>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</si>
  <si>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Iter_9</t>
  </si>
  <si>
    <t>Iter_10</t>
  </si>
  <si>
    <t>800x600_SVGA</t>
  </si>
  <si>
    <t>1280x720_HD</t>
  </si>
  <si>
    <t>1920x1080_Full_HD</t>
  </si>
  <si>
    <t>2048x1080_2K</t>
  </si>
  <si>
    <t>2560x1440_QHD</t>
  </si>
  <si>
    <t>3840x2160_4K</t>
  </si>
  <si>
    <t>5120x2880_5K</t>
  </si>
  <si>
    <t>7680x4320_8K</t>
  </si>
  <si>
    <t>Cores</t>
  </si>
  <si>
    <t>Average</t>
  </si>
  <si>
    <t>Speedup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</si>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</sst>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0E89-7ECE-4426-AD25-33CC5F593F2E}">
  <dimension ref="A1:S108"/>
  <sheetViews>
    <sheetView tabSelected="1" workbookViewId="0">
      <selection activeCell="Q20" sqref="Q20"/>
    </sheetView>
  </sheetViews>
  <sheetFormatPr defaultRowHeight="15" x14ac:dyDescent="0.25"/>
  <cols>
    <col min="2" max="2" width="17.7109375" bestFit="1" customWidth="1"/>
    <col min="3" max="10" width="11" bestFit="1" customWidth="1"/>
    <col min="11" max="11" width="10" bestFit="1" customWidth="1"/>
    <col min="12" max="12" width="11" bestFit="1" customWidth="1"/>
    <col min="13" max="13" width="9.140625" style="3"/>
    <col min="14" max="14" width="9.140625" style="4"/>
    <col min="15" max="15" width="9.140625" style="5"/>
  </cols>
  <sheetData>
    <row r="1" spans="1:19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3" t="s">
        <v>20</v>
      </c>
      <c r="N1" s="4" t="s">
        <v>21</v>
      </c>
      <c r="O1" s="5" t="s">
        <v>22</v>
      </c>
    </row>
    <row r="2" spans="1:19" x14ac:dyDescent="0.25">
      <c r="A2">
        <v>1</v>
      </c>
      <c r="B2" t="s">
        <v>11</v>
      </c>
      <c r="C2">
        <v>0.21044280000000001</v>
      </c>
      <c r="D2">
        <v>0.1901516</v>
      </c>
      <c r="E2">
        <v>0.19671420000000001</v>
      </c>
      <c r="F2">
        <v>0.19363459999999999</v>
      </c>
      <c r="G2">
        <v>0.19307969999999999</v>
      </c>
      <c r="H2">
        <v>0.19249949999999999</v>
      </c>
      <c r="I2">
        <v>0.2085127</v>
      </c>
      <c r="J2">
        <v>0.192969</v>
      </c>
      <c r="K2">
        <v>0.1925183</v>
      </c>
      <c r="L2" s="1">
        <v>0.19123209999999999</v>
      </c>
      <c r="M2" s="3">
        <f>AVERAGE(C2:L2)</f>
        <v>0.19617544999999997</v>
      </c>
    </row>
    <row r="3" spans="1:19" x14ac:dyDescent="0.25">
      <c r="A3">
        <v>1</v>
      </c>
      <c r="B3" t="s">
        <v>12</v>
      </c>
      <c r="C3">
        <v>0.3775191</v>
      </c>
      <c r="D3">
        <v>0.37026009999999998</v>
      </c>
      <c r="E3">
        <v>0.37490319999999999</v>
      </c>
      <c r="F3">
        <v>0.36852570000000001</v>
      </c>
      <c r="G3">
        <v>0.37101679999999998</v>
      </c>
      <c r="H3">
        <v>0.37002950000000001</v>
      </c>
      <c r="I3">
        <v>0.38506299999999999</v>
      </c>
      <c r="J3">
        <v>0.38769310000000001</v>
      </c>
      <c r="K3">
        <v>0.39104630000000001</v>
      </c>
      <c r="L3" s="1">
        <v>0.38105630000000001</v>
      </c>
      <c r="M3" s="3">
        <f t="shared" ref="M3:M66" si="0">AVERAGE(C3:L3)</f>
        <v>0.37771131000000002</v>
      </c>
    </row>
    <row r="4" spans="1:19" x14ac:dyDescent="0.25">
      <c r="A4">
        <v>1</v>
      </c>
      <c r="B4" t="s">
        <v>13</v>
      </c>
      <c r="C4">
        <v>0.85000900000000001</v>
      </c>
      <c r="D4">
        <v>0.90867640000000005</v>
      </c>
      <c r="E4">
        <v>0.93007390000000001</v>
      </c>
      <c r="F4">
        <v>0.94303179999999998</v>
      </c>
      <c r="G4">
        <v>0.98495169999999999</v>
      </c>
      <c r="H4">
        <v>0.97518459999999996</v>
      </c>
      <c r="I4">
        <v>0.89469399999999999</v>
      </c>
      <c r="J4">
        <v>0.87682559999999998</v>
      </c>
      <c r="K4">
        <v>0.87969109999999995</v>
      </c>
      <c r="L4" s="1">
        <v>0.94010870000000002</v>
      </c>
      <c r="M4" s="3">
        <f t="shared" si="0"/>
        <v>0.91832467999999989</v>
      </c>
    </row>
    <row r="5" spans="1:19" x14ac:dyDescent="0.25">
      <c r="A5">
        <v>1</v>
      </c>
      <c r="B5" t="s">
        <v>14</v>
      </c>
      <c r="C5">
        <v>1.0427972000000001</v>
      </c>
      <c r="D5">
        <v>1.0453667</v>
      </c>
      <c r="E5">
        <v>1.0145872</v>
      </c>
      <c r="F5">
        <v>1.0101637000000001</v>
      </c>
      <c r="G5">
        <v>1.1366753000000001</v>
      </c>
      <c r="H5">
        <v>1.2165474000000001</v>
      </c>
      <c r="I5">
        <v>0.99893299999999996</v>
      </c>
      <c r="J5">
        <v>0.98156469999999996</v>
      </c>
      <c r="K5">
        <v>0.89931229999999995</v>
      </c>
      <c r="L5" s="1">
        <v>0.95794020000000002</v>
      </c>
      <c r="M5" s="3">
        <f t="shared" si="0"/>
        <v>1.0303887700000001</v>
      </c>
      <c r="S5" s="2"/>
    </row>
    <row r="6" spans="1:19" x14ac:dyDescent="0.25">
      <c r="A6">
        <v>1</v>
      </c>
      <c r="B6" t="s">
        <v>15</v>
      </c>
      <c r="C6">
        <v>1.6286221000000001</v>
      </c>
      <c r="D6">
        <v>1.5313025</v>
      </c>
      <c r="E6">
        <v>1.5067533</v>
      </c>
      <c r="F6">
        <v>1.5041724999999999</v>
      </c>
      <c r="G6">
        <v>1.5135159</v>
      </c>
      <c r="H6">
        <v>1.5079791</v>
      </c>
      <c r="I6">
        <v>1.5792164</v>
      </c>
      <c r="J6">
        <v>1.5195481</v>
      </c>
      <c r="K6">
        <v>1.5296714</v>
      </c>
      <c r="L6" s="1">
        <v>1.5014179999999999</v>
      </c>
      <c r="M6" s="3">
        <f t="shared" si="0"/>
        <v>1.5322199299999999</v>
      </c>
    </row>
    <row r="7" spans="1:19" x14ac:dyDescent="0.25">
      <c r="A7">
        <v>1</v>
      </c>
      <c r="B7" t="s">
        <v>16</v>
      </c>
      <c r="C7">
        <v>3.5343651999999999</v>
      </c>
      <c r="D7">
        <v>3.3915503</v>
      </c>
      <c r="E7">
        <v>3.3794048000000001</v>
      </c>
      <c r="F7">
        <v>3.4008595000000001</v>
      </c>
      <c r="G7">
        <v>3.4100093</v>
      </c>
      <c r="H7">
        <v>3.3814812000000001</v>
      </c>
      <c r="I7">
        <v>3.3635031</v>
      </c>
      <c r="J7">
        <v>3.4509039000000001</v>
      </c>
      <c r="K7">
        <v>3.4197978</v>
      </c>
      <c r="L7" s="1">
        <v>3.3883627999999999</v>
      </c>
      <c r="M7" s="3">
        <f t="shared" si="0"/>
        <v>3.4120237900000001</v>
      </c>
    </row>
    <row r="8" spans="1:19" x14ac:dyDescent="0.25">
      <c r="A8">
        <v>1</v>
      </c>
      <c r="B8" t="s">
        <v>17</v>
      </c>
      <c r="C8">
        <v>6.2326999000000001</v>
      </c>
      <c r="D8">
        <v>6.1843474000000001</v>
      </c>
      <c r="E8">
        <v>6.0887102999999998</v>
      </c>
      <c r="F8">
        <v>6.0924914000000001</v>
      </c>
      <c r="G8">
        <v>6.0834169999999999</v>
      </c>
      <c r="H8">
        <v>6.1855796999999999</v>
      </c>
      <c r="I8">
        <v>6.1177000000000001</v>
      </c>
      <c r="J8">
        <v>6.0836268999999996</v>
      </c>
      <c r="K8">
        <v>6.1281075999999999</v>
      </c>
      <c r="L8" s="1">
        <v>6.1883473999999996</v>
      </c>
      <c r="M8" s="3">
        <f t="shared" si="0"/>
        <v>6.1385027599999997</v>
      </c>
    </row>
    <row r="9" spans="1:19" x14ac:dyDescent="0.25">
      <c r="A9">
        <v>1</v>
      </c>
      <c r="B9" t="s">
        <v>18</v>
      </c>
      <c r="C9">
        <v>13.867609699999999</v>
      </c>
      <c r="D9">
        <v>13.7545456</v>
      </c>
      <c r="E9">
        <v>13.771072500000001</v>
      </c>
      <c r="F9">
        <v>13.7291478</v>
      </c>
      <c r="G9">
        <v>13.6429811</v>
      </c>
      <c r="H9">
        <v>13.6679581</v>
      </c>
      <c r="I9">
        <v>13.6250394</v>
      </c>
      <c r="J9">
        <v>13.8812205</v>
      </c>
      <c r="K9">
        <v>13.785244</v>
      </c>
      <c r="L9" s="1">
        <v>14.038055699999999</v>
      </c>
      <c r="M9" s="3">
        <f t="shared" si="0"/>
        <v>13.776287440000001</v>
      </c>
    </row>
    <row r="10" spans="1:19" x14ac:dyDescent="0.25">
      <c r="L10" s="1"/>
    </row>
    <row r="11" spans="1:19" x14ac:dyDescent="0.25">
      <c r="A11">
        <v>2</v>
      </c>
      <c r="B11" t="s">
        <v>11</v>
      </c>
      <c r="C11">
        <v>0.37011040000000001</v>
      </c>
      <c r="D11">
        <v>0.1951291</v>
      </c>
      <c r="E11">
        <v>0.1886922</v>
      </c>
      <c r="F11">
        <v>0.172406</v>
      </c>
      <c r="G11">
        <v>0.20949019999999999</v>
      </c>
      <c r="H11">
        <v>0.16775280000000001</v>
      </c>
      <c r="I11">
        <v>0.15629190000000001</v>
      </c>
      <c r="J11">
        <v>0.1743487</v>
      </c>
      <c r="K11">
        <v>0.19550699999999999</v>
      </c>
      <c r="L11" s="1">
        <v>0.17872499999999999</v>
      </c>
      <c r="M11" s="3">
        <f t="shared" si="0"/>
        <v>0.20084532999999999</v>
      </c>
      <c r="N11" s="4">
        <f>$M$2/M11</f>
        <v>0.97674887437014335</v>
      </c>
      <c r="O11" s="5">
        <f>100*(N11/A11)</f>
        <v>48.837443718507167</v>
      </c>
    </row>
    <row r="12" spans="1:19" x14ac:dyDescent="0.25">
      <c r="A12">
        <v>2</v>
      </c>
      <c r="B12" t="s">
        <v>12</v>
      </c>
      <c r="C12">
        <v>0.33565830000000002</v>
      </c>
      <c r="D12">
        <v>0.3112762</v>
      </c>
      <c r="E12">
        <v>0.27417019999999998</v>
      </c>
      <c r="F12">
        <v>0.2829583</v>
      </c>
      <c r="G12">
        <v>0.3188743</v>
      </c>
      <c r="H12">
        <v>0.32756380000000002</v>
      </c>
      <c r="I12">
        <v>0.29984080000000002</v>
      </c>
      <c r="J12">
        <v>0.31119269999999999</v>
      </c>
      <c r="K12">
        <v>0.31290430000000002</v>
      </c>
      <c r="L12" s="1">
        <v>0.35228490000000001</v>
      </c>
      <c r="M12" s="3">
        <f t="shared" si="0"/>
        <v>0.31267237999999997</v>
      </c>
      <c r="N12" s="4">
        <f>$M$3/M12</f>
        <v>1.2080098344471617</v>
      </c>
      <c r="O12" s="5">
        <f t="shared" ref="O12:O18" si="1">100*(N12/A12)</f>
        <v>60.400491722358083</v>
      </c>
    </row>
    <row r="13" spans="1:19" x14ac:dyDescent="0.25">
      <c r="A13">
        <v>2</v>
      </c>
      <c r="B13" t="s">
        <v>13</v>
      </c>
      <c r="C13">
        <v>0.75343669999999996</v>
      </c>
      <c r="D13">
        <v>0.67393309999999995</v>
      </c>
      <c r="E13">
        <v>0.77015239999999996</v>
      </c>
      <c r="F13">
        <v>0.76322199999999996</v>
      </c>
      <c r="G13">
        <v>0.73285489999999998</v>
      </c>
      <c r="H13">
        <v>0.71833899999999995</v>
      </c>
      <c r="I13">
        <v>0.71107980000000004</v>
      </c>
      <c r="J13">
        <v>0.72398280000000004</v>
      </c>
      <c r="K13">
        <v>0.73255590000000004</v>
      </c>
      <c r="L13" s="1">
        <v>0.69971969999999994</v>
      </c>
      <c r="M13" s="3">
        <f t="shared" si="0"/>
        <v>0.72792763000000005</v>
      </c>
      <c r="N13" s="4">
        <f>$M$4/M13</f>
        <v>1.2615604108886482</v>
      </c>
      <c r="O13" s="5">
        <f t="shared" si="1"/>
        <v>63.078020544432412</v>
      </c>
    </row>
    <row r="14" spans="1:19" x14ac:dyDescent="0.25">
      <c r="A14">
        <v>2</v>
      </c>
      <c r="B14" t="s">
        <v>14</v>
      </c>
      <c r="C14">
        <v>0.74877780000000005</v>
      </c>
      <c r="D14">
        <v>0.74964980000000003</v>
      </c>
      <c r="E14">
        <v>0.68726290000000001</v>
      </c>
      <c r="F14">
        <v>0.68325530000000001</v>
      </c>
      <c r="G14">
        <v>0.73341769999999995</v>
      </c>
      <c r="H14">
        <v>0.73730359999999995</v>
      </c>
      <c r="I14">
        <v>0.75801589999999996</v>
      </c>
      <c r="J14">
        <v>0.73115430000000003</v>
      </c>
      <c r="K14">
        <v>0.74892899999999996</v>
      </c>
      <c r="L14" s="1">
        <v>0.72656759999999998</v>
      </c>
      <c r="M14" s="3">
        <f t="shared" si="0"/>
        <v>0.73043339000000007</v>
      </c>
      <c r="N14" s="4">
        <f>$M$5/M14</f>
        <v>1.410653981740895</v>
      </c>
      <c r="O14" s="5">
        <f t="shared" si="1"/>
        <v>70.532699087044747</v>
      </c>
    </row>
    <row r="15" spans="1:19" x14ac:dyDescent="0.25">
      <c r="A15">
        <v>2</v>
      </c>
      <c r="B15" t="s">
        <v>15</v>
      </c>
      <c r="C15">
        <v>1.2364733999999999</v>
      </c>
      <c r="D15">
        <v>1.1287844</v>
      </c>
      <c r="E15">
        <v>1.1142974000000001</v>
      </c>
      <c r="F15">
        <v>1.0850044999999999</v>
      </c>
      <c r="G15">
        <v>1.0981061000000001</v>
      </c>
      <c r="H15">
        <v>1.1028396</v>
      </c>
      <c r="I15">
        <v>1.1023046999999999</v>
      </c>
      <c r="J15">
        <v>1.0671139000000001</v>
      </c>
      <c r="K15">
        <v>1.0829002000000001</v>
      </c>
      <c r="L15" s="1">
        <v>1.1795428999999999</v>
      </c>
      <c r="M15" s="3">
        <f t="shared" si="0"/>
        <v>1.11973671</v>
      </c>
      <c r="N15" s="4">
        <f>$M$6/M15</f>
        <v>1.3683751870562499</v>
      </c>
      <c r="O15" s="5">
        <f t="shared" si="1"/>
        <v>68.418759352812501</v>
      </c>
    </row>
    <row r="16" spans="1:19" x14ac:dyDescent="0.25">
      <c r="A16">
        <v>2</v>
      </c>
      <c r="B16" t="s">
        <v>16</v>
      </c>
      <c r="C16">
        <v>2.4141935999999999</v>
      </c>
      <c r="D16">
        <v>2.3942695000000001</v>
      </c>
      <c r="E16">
        <v>2.4213163999999998</v>
      </c>
      <c r="F16">
        <v>2.6892269</v>
      </c>
      <c r="G16">
        <v>2.6477876999999999</v>
      </c>
      <c r="H16">
        <v>2.3507101000000001</v>
      </c>
      <c r="I16">
        <v>2.4333409000000001</v>
      </c>
      <c r="J16">
        <v>2.4252720000000001</v>
      </c>
      <c r="K16">
        <v>2.3493019999999998</v>
      </c>
      <c r="L16" s="1">
        <v>2.4618459000000001</v>
      </c>
      <c r="M16" s="3">
        <f t="shared" si="0"/>
        <v>2.4587265</v>
      </c>
      <c r="N16" s="4">
        <f>$M$7/M16</f>
        <v>1.3877199395703426</v>
      </c>
      <c r="O16" s="5">
        <f t="shared" si="1"/>
        <v>69.385996978517127</v>
      </c>
    </row>
    <row r="17" spans="1:15" x14ac:dyDescent="0.25">
      <c r="A17">
        <v>2</v>
      </c>
      <c r="B17" t="s">
        <v>17</v>
      </c>
      <c r="C17">
        <v>4.3183783</v>
      </c>
      <c r="D17">
        <v>4.7121037000000001</v>
      </c>
      <c r="E17">
        <v>4.1173573000000001</v>
      </c>
      <c r="F17">
        <v>4.0810431999999999</v>
      </c>
      <c r="G17">
        <v>4.1339056000000003</v>
      </c>
      <c r="H17">
        <v>4.6373991999999999</v>
      </c>
      <c r="I17">
        <v>4.1006669000000002</v>
      </c>
      <c r="J17">
        <v>4.1399583</v>
      </c>
      <c r="K17">
        <v>4.2177568000000001</v>
      </c>
      <c r="L17" s="1">
        <v>4.1084614999999998</v>
      </c>
      <c r="M17" s="3">
        <f t="shared" si="0"/>
        <v>4.2567030799999994</v>
      </c>
      <c r="N17" s="4">
        <f>$M$8/M17</f>
        <v>1.4420791501388912</v>
      </c>
      <c r="O17" s="5">
        <f t="shared" si="1"/>
        <v>72.103957506944568</v>
      </c>
    </row>
    <row r="18" spans="1:15" x14ac:dyDescent="0.25">
      <c r="A18">
        <v>2</v>
      </c>
      <c r="B18" t="s">
        <v>18</v>
      </c>
      <c r="C18">
        <v>9.4482955999999998</v>
      </c>
      <c r="D18">
        <v>9.1811424000000006</v>
      </c>
      <c r="E18">
        <v>9.3439983000000009</v>
      </c>
      <c r="F18">
        <v>10.3904079</v>
      </c>
      <c r="G18">
        <v>9.2895018999999994</v>
      </c>
      <c r="H18">
        <v>9.1784298</v>
      </c>
      <c r="I18">
        <v>9.3597262000000008</v>
      </c>
      <c r="J18">
        <v>9.2681217</v>
      </c>
      <c r="K18">
        <v>9.3336942000000001</v>
      </c>
      <c r="L18" s="1">
        <v>10.6661915</v>
      </c>
      <c r="M18" s="3">
        <f t="shared" si="0"/>
        <v>9.5459509499999982</v>
      </c>
      <c r="N18" s="4">
        <f>$M$9/M18</f>
        <v>1.4431550625137042</v>
      </c>
      <c r="O18" s="5">
        <f t="shared" si="1"/>
        <v>72.157753125685204</v>
      </c>
    </row>
    <row r="19" spans="1:15" x14ac:dyDescent="0.25">
      <c r="L19" s="1"/>
    </row>
    <row r="20" spans="1:15" x14ac:dyDescent="0.25">
      <c r="A20">
        <v>3</v>
      </c>
      <c r="B20" t="s">
        <v>11</v>
      </c>
      <c r="C20">
        <v>0.2033259</v>
      </c>
      <c r="D20">
        <v>0.1408257</v>
      </c>
      <c r="E20">
        <v>0.12390519999999999</v>
      </c>
      <c r="F20">
        <v>0.14477719999999999</v>
      </c>
      <c r="G20">
        <v>0.13558010000000001</v>
      </c>
      <c r="H20">
        <v>0.16184889999999999</v>
      </c>
      <c r="I20">
        <v>0.12898780000000001</v>
      </c>
      <c r="J20">
        <v>0.11711530000000001</v>
      </c>
      <c r="K20">
        <v>0.11738170000000001</v>
      </c>
      <c r="L20" s="1">
        <v>0.1192155</v>
      </c>
      <c r="M20" s="3">
        <f t="shared" si="0"/>
        <v>0.13929633</v>
      </c>
      <c r="N20" s="4">
        <f>$M$2/M20</f>
        <v>1.408331791655961</v>
      </c>
      <c r="O20" s="5">
        <f>100*(N20/A20)</f>
        <v>46.944393055198702</v>
      </c>
    </row>
    <row r="21" spans="1:15" x14ac:dyDescent="0.25">
      <c r="A21">
        <v>3</v>
      </c>
      <c r="B21" t="s">
        <v>12</v>
      </c>
      <c r="C21">
        <v>0.2299224</v>
      </c>
      <c r="D21">
        <v>0.23931060000000001</v>
      </c>
      <c r="E21">
        <v>0.22928589999999999</v>
      </c>
      <c r="F21">
        <v>0.23589260000000001</v>
      </c>
      <c r="G21">
        <v>0.23731140000000001</v>
      </c>
      <c r="H21">
        <v>0.23828530000000001</v>
      </c>
      <c r="I21">
        <v>0.22214410000000001</v>
      </c>
      <c r="J21">
        <v>0.2245674</v>
      </c>
      <c r="K21">
        <v>0.23552139999999999</v>
      </c>
      <c r="L21" s="1">
        <v>0.23892579999999999</v>
      </c>
      <c r="M21" s="3">
        <f t="shared" si="0"/>
        <v>0.23311668999999999</v>
      </c>
      <c r="N21" s="4">
        <f>$M$3/M21</f>
        <v>1.6202671288786747</v>
      </c>
      <c r="O21" s="5">
        <f t="shared" ref="O21:O27" si="2">100*(N21/A21)</f>
        <v>54.00890429595583</v>
      </c>
    </row>
    <row r="22" spans="1:15" x14ac:dyDescent="0.25">
      <c r="A22">
        <v>3</v>
      </c>
      <c r="B22" t="s">
        <v>13</v>
      </c>
      <c r="C22">
        <v>0.4993803</v>
      </c>
      <c r="D22">
        <v>0.48387829999999998</v>
      </c>
      <c r="E22">
        <v>0.56834879999999999</v>
      </c>
      <c r="F22">
        <v>0.51775450000000001</v>
      </c>
      <c r="G22">
        <v>0.51740140000000001</v>
      </c>
      <c r="H22">
        <v>0.49364599999999997</v>
      </c>
      <c r="I22">
        <v>0.47084480000000001</v>
      </c>
      <c r="J22">
        <v>0.48958249999999998</v>
      </c>
      <c r="K22">
        <v>0.4873902</v>
      </c>
      <c r="L22" s="1">
        <v>0.4695183</v>
      </c>
      <c r="M22" s="3">
        <f t="shared" si="0"/>
        <v>0.49977451000000006</v>
      </c>
      <c r="N22" s="4">
        <f>$M$4/M22</f>
        <v>1.8374780258400929</v>
      </c>
      <c r="O22" s="5">
        <f t="shared" si="2"/>
        <v>61.249267528003095</v>
      </c>
    </row>
    <row r="23" spans="1:15" x14ac:dyDescent="0.25">
      <c r="A23">
        <v>3</v>
      </c>
      <c r="B23" t="s">
        <v>14</v>
      </c>
      <c r="C23">
        <v>0.51294830000000002</v>
      </c>
      <c r="D23">
        <v>0.50709630000000006</v>
      </c>
      <c r="E23">
        <v>0.50690060000000003</v>
      </c>
      <c r="F23">
        <v>0.51691469999999995</v>
      </c>
      <c r="G23">
        <v>0.51735549999999997</v>
      </c>
      <c r="H23">
        <v>0.52101319999999995</v>
      </c>
      <c r="I23">
        <v>0.50974430000000004</v>
      </c>
      <c r="J23">
        <v>0.50593220000000005</v>
      </c>
      <c r="K23">
        <v>0.51131040000000005</v>
      </c>
      <c r="L23" s="1">
        <v>0.53180470000000002</v>
      </c>
      <c r="M23" s="3">
        <f t="shared" si="0"/>
        <v>0.51410202000000005</v>
      </c>
      <c r="N23" s="4">
        <f>$M$5/M23</f>
        <v>2.0042496039988329</v>
      </c>
      <c r="O23" s="5">
        <f t="shared" si="2"/>
        <v>66.80832013329443</v>
      </c>
    </row>
    <row r="24" spans="1:15" x14ac:dyDescent="0.25">
      <c r="A24">
        <v>3</v>
      </c>
      <c r="B24" t="s">
        <v>15</v>
      </c>
      <c r="C24">
        <v>0.84143420000000002</v>
      </c>
      <c r="D24">
        <v>0.85033009999999998</v>
      </c>
      <c r="E24">
        <v>0.81578019999999996</v>
      </c>
      <c r="F24">
        <v>0.82581729999999998</v>
      </c>
      <c r="G24">
        <v>0.87228329999999998</v>
      </c>
      <c r="H24">
        <v>0.8288818</v>
      </c>
      <c r="I24">
        <v>0.81640369999999995</v>
      </c>
      <c r="J24">
        <v>0.82100479999999998</v>
      </c>
      <c r="K24">
        <v>0.81958600000000004</v>
      </c>
      <c r="L24" s="1">
        <v>0.82077580000000006</v>
      </c>
      <c r="M24" s="3">
        <f t="shared" si="0"/>
        <v>0.83122971999999995</v>
      </c>
      <c r="N24" s="4">
        <f>$M$6/M24</f>
        <v>1.8433170676332411</v>
      </c>
      <c r="O24" s="5">
        <f t="shared" si="2"/>
        <v>61.443902254441376</v>
      </c>
    </row>
    <row r="25" spans="1:15" x14ac:dyDescent="0.25">
      <c r="A25">
        <v>3</v>
      </c>
      <c r="B25" t="s">
        <v>16</v>
      </c>
      <c r="C25">
        <v>1.8469541</v>
      </c>
      <c r="D25">
        <v>1.8414047</v>
      </c>
      <c r="E25">
        <v>1.8028139999999999</v>
      </c>
      <c r="F25">
        <v>1.812114</v>
      </c>
      <c r="G25">
        <v>1.831124</v>
      </c>
      <c r="H25">
        <v>1.8185182</v>
      </c>
      <c r="I25">
        <v>1.8053163999999999</v>
      </c>
      <c r="J25">
        <v>2.1568491000000001</v>
      </c>
      <c r="K25">
        <v>2.0348875999999998</v>
      </c>
      <c r="L25" s="1">
        <v>1.9085658999999999</v>
      </c>
      <c r="M25" s="3">
        <f t="shared" si="0"/>
        <v>1.8858548000000002</v>
      </c>
      <c r="N25" s="4">
        <f>$M$7/M25</f>
        <v>1.8092717371454048</v>
      </c>
      <c r="O25" s="5">
        <f t="shared" si="2"/>
        <v>60.309057904846831</v>
      </c>
    </row>
    <row r="26" spans="1:15" x14ac:dyDescent="0.25">
      <c r="A26">
        <v>3</v>
      </c>
      <c r="B26" t="s">
        <v>17</v>
      </c>
      <c r="C26">
        <v>3.2705244000000002</v>
      </c>
      <c r="D26">
        <v>3.1739364000000001</v>
      </c>
      <c r="E26">
        <v>3.2103671</v>
      </c>
      <c r="F26">
        <v>3.1881366</v>
      </c>
      <c r="G26">
        <v>3.4551411000000001</v>
      </c>
      <c r="H26">
        <v>3.2706697999999998</v>
      </c>
      <c r="I26">
        <v>3.2703407000000002</v>
      </c>
      <c r="J26">
        <v>3.1947972</v>
      </c>
      <c r="K26">
        <v>3.2129059</v>
      </c>
      <c r="L26" s="1">
        <v>3.2398437000000002</v>
      </c>
      <c r="M26" s="3">
        <f t="shared" si="0"/>
        <v>3.2486662900000001</v>
      </c>
      <c r="N26" s="4">
        <f>$M$8/M26</f>
        <v>1.8895454971461534</v>
      </c>
      <c r="O26" s="5">
        <f t="shared" si="2"/>
        <v>62.984849904871773</v>
      </c>
    </row>
    <row r="27" spans="1:15" x14ac:dyDescent="0.25">
      <c r="A27">
        <v>3</v>
      </c>
      <c r="B27" t="s">
        <v>18</v>
      </c>
      <c r="C27">
        <v>7.2295008000000003</v>
      </c>
      <c r="D27">
        <v>7.1370459000000004</v>
      </c>
      <c r="E27">
        <v>7.1508744999999996</v>
      </c>
      <c r="F27">
        <v>7.0627857000000001</v>
      </c>
      <c r="G27">
        <v>7.0227589999999998</v>
      </c>
      <c r="H27">
        <v>7.1659761</v>
      </c>
      <c r="I27">
        <v>7.1448514000000003</v>
      </c>
      <c r="J27">
        <v>7.1065668999999998</v>
      </c>
      <c r="K27">
        <v>7.1025271999999999</v>
      </c>
      <c r="L27" s="1">
        <v>7.3410292000000004</v>
      </c>
      <c r="M27" s="3">
        <f t="shared" si="0"/>
        <v>7.1463916699999999</v>
      </c>
      <c r="N27" s="4">
        <f>$M$9/M27</f>
        <v>1.9277263374510791</v>
      </c>
      <c r="O27" s="5">
        <f t="shared" si="2"/>
        <v>64.257544581702646</v>
      </c>
    </row>
    <row r="28" spans="1:15" x14ac:dyDescent="0.25">
      <c r="L28" s="1"/>
    </row>
    <row r="29" spans="1:15" x14ac:dyDescent="0.25">
      <c r="A29">
        <v>4</v>
      </c>
      <c r="B29" t="s">
        <v>11</v>
      </c>
      <c r="C29">
        <v>0.201431</v>
      </c>
      <c r="D29">
        <v>0.1267683</v>
      </c>
      <c r="E29">
        <v>0.1234537</v>
      </c>
      <c r="F29">
        <v>9.9217200000000005E-2</v>
      </c>
      <c r="G29">
        <v>0.12681039999999999</v>
      </c>
      <c r="H29">
        <v>0.1291313</v>
      </c>
      <c r="I29">
        <v>0.1194678</v>
      </c>
      <c r="J29">
        <v>0.1015313</v>
      </c>
      <c r="K29">
        <v>0.12992500000000001</v>
      </c>
      <c r="L29" s="1">
        <v>0.1121866</v>
      </c>
      <c r="M29" s="3">
        <f t="shared" si="0"/>
        <v>0.12699226000000002</v>
      </c>
      <c r="N29" s="4">
        <f>$M$2/M29</f>
        <v>1.544782729278146</v>
      </c>
      <c r="O29" s="5">
        <f>100*(N29/A29)</f>
        <v>38.61956823195365</v>
      </c>
    </row>
    <row r="30" spans="1:15" x14ac:dyDescent="0.25">
      <c r="A30">
        <v>4</v>
      </c>
      <c r="B30" t="s">
        <v>12</v>
      </c>
      <c r="C30">
        <v>0.19616500000000001</v>
      </c>
      <c r="D30">
        <v>0.18837889999999999</v>
      </c>
      <c r="E30">
        <v>0.2057667</v>
      </c>
      <c r="F30">
        <v>0.20284650000000001</v>
      </c>
      <c r="G30">
        <v>0.1816933</v>
      </c>
      <c r="H30">
        <v>0.1799433</v>
      </c>
      <c r="I30">
        <v>0.18199309999999999</v>
      </c>
      <c r="J30">
        <v>0.22387389999999999</v>
      </c>
      <c r="K30">
        <v>0.1909362</v>
      </c>
      <c r="L30" s="1">
        <v>0.19633339999999999</v>
      </c>
      <c r="M30" s="3">
        <f t="shared" si="0"/>
        <v>0.19479302999999998</v>
      </c>
      <c r="N30" s="4">
        <f>$M$3/M30</f>
        <v>1.9390391432383389</v>
      </c>
      <c r="O30" s="5">
        <f t="shared" ref="O30:O36" si="3">100*(N30/A30)</f>
        <v>48.475978580958476</v>
      </c>
    </row>
    <row r="31" spans="1:15" x14ac:dyDescent="0.25">
      <c r="A31">
        <v>4</v>
      </c>
      <c r="B31" t="s">
        <v>13</v>
      </c>
      <c r="C31">
        <v>0.40574250000000001</v>
      </c>
      <c r="D31">
        <v>0.40139649999999999</v>
      </c>
      <c r="E31">
        <v>0.38364540000000003</v>
      </c>
      <c r="F31">
        <v>0.42025489999999999</v>
      </c>
      <c r="G31">
        <v>0.40154980000000001</v>
      </c>
      <c r="H31">
        <v>0.4021285</v>
      </c>
      <c r="I31">
        <v>0.41653679999999998</v>
      </c>
      <c r="J31">
        <v>0.39894849999999998</v>
      </c>
      <c r="K31">
        <v>0.40412029999999999</v>
      </c>
      <c r="L31" s="1">
        <v>0.39413720000000002</v>
      </c>
      <c r="M31" s="3">
        <f t="shared" si="0"/>
        <v>0.40284604000000002</v>
      </c>
      <c r="N31" s="4">
        <f>$M$4/M31</f>
        <v>2.2795921737247307</v>
      </c>
      <c r="O31" s="5">
        <f t="shared" si="3"/>
        <v>56.989804343118266</v>
      </c>
    </row>
    <row r="32" spans="1:15" x14ac:dyDescent="0.25">
      <c r="A32">
        <v>4</v>
      </c>
      <c r="B32" t="s">
        <v>14</v>
      </c>
      <c r="C32">
        <v>0.42586360000000001</v>
      </c>
      <c r="D32">
        <v>0.45186710000000002</v>
      </c>
      <c r="E32">
        <v>0.4154562</v>
      </c>
      <c r="F32">
        <v>0.42334440000000001</v>
      </c>
      <c r="G32">
        <v>0.44501570000000001</v>
      </c>
      <c r="H32">
        <v>0.42462680000000003</v>
      </c>
      <c r="I32">
        <v>0.43034630000000001</v>
      </c>
      <c r="J32">
        <v>0.41695870000000002</v>
      </c>
      <c r="K32">
        <v>0.41813289999999997</v>
      </c>
      <c r="L32" s="1">
        <v>0.4298266</v>
      </c>
      <c r="M32" s="3">
        <f t="shared" si="0"/>
        <v>0.42814382999999995</v>
      </c>
      <c r="N32" s="4">
        <f>$M$5/M32</f>
        <v>2.4066416418987053</v>
      </c>
      <c r="O32" s="5">
        <f t="shared" si="3"/>
        <v>60.16604104746763</v>
      </c>
    </row>
    <row r="33" spans="1:15" x14ac:dyDescent="0.25">
      <c r="A33">
        <v>4</v>
      </c>
      <c r="B33" t="s">
        <v>15</v>
      </c>
      <c r="C33">
        <v>0.5986707</v>
      </c>
      <c r="D33">
        <v>0.68595850000000003</v>
      </c>
      <c r="E33">
        <v>0.68986879999999995</v>
      </c>
      <c r="F33">
        <v>0.6778573</v>
      </c>
      <c r="G33">
        <v>0.59594809999999998</v>
      </c>
      <c r="H33">
        <v>0.68151640000000002</v>
      </c>
      <c r="I33">
        <v>0.68469100000000005</v>
      </c>
      <c r="J33">
        <v>0.67485019999999996</v>
      </c>
      <c r="K33">
        <v>0.66993809999999998</v>
      </c>
      <c r="L33" s="1">
        <v>0.59993050000000003</v>
      </c>
      <c r="M33" s="3">
        <f t="shared" si="0"/>
        <v>0.65592296000000005</v>
      </c>
      <c r="N33" s="4">
        <f>$M$6/M33</f>
        <v>2.3359754474824297</v>
      </c>
      <c r="O33" s="5">
        <f t="shared" si="3"/>
        <v>58.399386187060742</v>
      </c>
    </row>
    <row r="34" spans="1:15" x14ac:dyDescent="0.25">
      <c r="A34">
        <v>4</v>
      </c>
      <c r="B34" t="s">
        <v>16</v>
      </c>
      <c r="C34">
        <v>1.5144195</v>
      </c>
      <c r="D34">
        <v>1.473597</v>
      </c>
      <c r="E34">
        <v>1.4738652999999999</v>
      </c>
      <c r="F34">
        <v>1.4628508</v>
      </c>
      <c r="G34">
        <v>1.4686958000000001</v>
      </c>
      <c r="H34">
        <v>1.4477263</v>
      </c>
      <c r="I34">
        <v>1.4735891999999999</v>
      </c>
      <c r="J34">
        <v>1.4655323</v>
      </c>
      <c r="K34">
        <v>1.4642192000000001</v>
      </c>
      <c r="L34" s="1">
        <v>1.4764343</v>
      </c>
      <c r="M34" s="3">
        <f t="shared" si="0"/>
        <v>1.4720929699999998</v>
      </c>
      <c r="N34" s="4">
        <f>$M$7/M34</f>
        <v>2.3178045541512233</v>
      </c>
      <c r="O34" s="5">
        <f t="shared" si="3"/>
        <v>57.945113853780583</v>
      </c>
    </row>
    <row r="35" spans="1:15" x14ac:dyDescent="0.25">
      <c r="A35">
        <v>4</v>
      </c>
      <c r="B35" t="s">
        <v>17</v>
      </c>
      <c r="C35">
        <v>2.632072</v>
      </c>
      <c r="D35">
        <v>2.582344</v>
      </c>
      <c r="E35">
        <v>2.5739347000000001</v>
      </c>
      <c r="F35">
        <v>2.6606507000000001</v>
      </c>
      <c r="G35">
        <v>2.6330969</v>
      </c>
      <c r="H35">
        <v>2.6648029000000002</v>
      </c>
      <c r="I35">
        <v>2.5459551</v>
      </c>
      <c r="J35">
        <v>2.5775095000000001</v>
      </c>
      <c r="K35">
        <v>2.5670972000000001</v>
      </c>
      <c r="L35" s="1">
        <v>2.5701854000000002</v>
      </c>
      <c r="M35" s="3">
        <f t="shared" si="0"/>
        <v>2.6007648400000001</v>
      </c>
      <c r="N35" s="4">
        <f>$M$8/M35</f>
        <v>2.3602682816951646</v>
      </c>
      <c r="O35" s="5">
        <f t="shared" si="3"/>
        <v>59.006707042379112</v>
      </c>
    </row>
    <row r="36" spans="1:15" x14ac:dyDescent="0.25">
      <c r="A36">
        <v>4</v>
      </c>
      <c r="B36" t="s">
        <v>18</v>
      </c>
      <c r="C36">
        <v>5.7658187999999999</v>
      </c>
      <c r="D36">
        <v>5.7419159999999998</v>
      </c>
      <c r="E36">
        <v>5.8237892999999996</v>
      </c>
      <c r="F36">
        <v>5.7286842</v>
      </c>
      <c r="G36">
        <v>5.7335155999999996</v>
      </c>
      <c r="H36">
        <v>5.7466295000000001</v>
      </c>
      <c r="I36">
        <v>5.7096771999999998</v>
      </c>
      <c r="J36">
        <v>5.7159751999999999</v>
      </c>
      <c r="K36">
        <v>5.7496874</v>
      </c>
      <c r="L36" s="1">
        <v>5.6833299000000004</v>
      </c>
      <c r="M36" s="3">
        <f t="shared" si="0"/>
        <v>5.7399023100000006</v>
      </c>
      <c r="N36" s="4">
        <f>$M$9/M36</f>
        <v>2.4000909241955375</v>
      </c>
      <c r="O36" s="5">
        <f t="shared" si="3"/>
        <v>60.002273104888438</v>
      </c>
    </row>
    <row r="37" spans="1:15" x14ac:dyDescent="0.25">
      <c r="L37" s="1"/>
    </row>
    <row r="38" spans="1:15" x14ac:dyDescent="0.25">
      <c r="A38">
        <v>5</v>
      </c>
      <c r="B38" t="s">
        <v>11</v>
      </c>
      <c r="C38">
        <v>0.1719984</v>
      </c>
      <c r="D38">
        <v>0.1196716</v>
      </c>
      <c r="E38">
        <v>0.11265559999999999</v>
      </c>
      <c r="F38">
        <v>0.10018050000000001</v>
      </c>
      <c r="G38">
        <v>9.65004E-2</v>
      </c>
      <c r="H38">
        <v>9.3946399999999999E-2</v>
      </c>
      <c r="I38">
        <v>0.1059418</v>
      </c>
      <c r="J38">
        <v>9.5730200000000001E-2</v>
      </c>
      <c r="K38">
        <v>9.5518900000000004E-2</v>
      </c>
      <c r="L38" s="1">
        <v>0.1034071</v>
      </c>
      <c r="M38" s="3">
        <f t="shared" si="0"/>
        <v>0.10955508999999999</v>
      </c>
      <c r="N38" s="4">
        <f>$M$2/M38</f>
        <v>1.7906557331110766</v>
      </c>
      <c r="O38" s="5">
        <f>100*(N38/A38)</f>
        <v>35.813114662221537</v>
      </c>
    </row>
    <row r="39" spans="1:15" x14ac:dyDescent="0.25">
      <c r="A39">
        <v>5</v>
      </c>
      <c r="B39" t="s">
        <v>12</v>
      </c>
      <c r="C39">
        <v>0.16470689999999999</v>
      </c>
      <c r="D39">
        <v>0.13871230000000001</v>
      </c>
      <c r="E39">
        <v>0.1793534</v>
      </c>
      <c r="F39">
        <v>0.1624534</v>
      </c>
      <c r="G39">
        <v>0.17372560000000001</v>
      </c>
      <c r="H39">
        <v>0.16388179999999999</v>
      </c>
      <c r="I39">
        <v>0.20795759999999999</v>
      </c>
      <c r="J39">
        <v>0.2073255</v>
      </c>
      <c r="K39">
        <v>0.13895850000000001</v>
      </c>
      <c r="L39" s="1">
        <v>0.16345999999999999</v>
      </c>
      <c r="M39" s="3">
        <f t="shared" si="0"/>
        <v>0.1700535</v>
      </c>
      <c r="N39" s="4">
        <f>$M$3/M39</f>
        <v>2.2211322319152504</v>
      </c>
      <c r="O39" s="5">
        <f t="shared" ref="O39:O45" si="4">100*(N39/A39)</f>
        <v>44.422644638305009</v>
      </c>
    </row>
    <row r="40" spans="1:15" x14ac:dyDescent="0.25">
      <c r="A40">
        <v>5</v>
      </c>
      <c r="B40" t="s">
        <v>13</v>
      </c>
      <c r="C40">
        <v>0.30740469999999998</v>
      </c>
      <c r="D40">
        <v>0.31636120000000001</v>
      </c>
      <c r="E40">
        <v>0.31077640000000001</v>
      </c>
      <c r="F40">
        <v>0.29540309999999997</v>
      </c>
      <c r="G40">
        <v>0.30077140000000002</v>
      </c>
      <c r="H40">
        <v>0.34462039999999999</v>
      </c>
      <c r="I40">
        <v>0.31327129999999997</v>
      </c>
      <c r="J40">
        <v>0.33630539999999998</v>
      </c>
      <c r="K40">
        <v>0.33773310000000001</v>
      </c>
      <c r="L40" s="1">
        <v>0.33735330000000002</v>
      </c>
      <c r="M40" s="3">
        <f t="shared" si="0"/>
        <v>0.32000002999999999</v>
      </c>
      <c r="N40" s="4">
        <f>$M$4/M40</f>
        <v>2.8697643559595916</v>
      </c>
      <c r="O40" s="5">
        <f t="shared" si="4"/>
        <v>57.395287119191828</v>
      </c>
    </row>
    <row r="41" spans="1:15" x14ac:dyDescent="0.25">
      <c r="A41">
        <v>5</v>
      </c>
      <c r="B41" t="s">
        <v>14</v>
      </c>
      <c r="C41">
        <v>0.3795171</v>
      </c>
      <c r="D41">
        <v>0.38057619999999998</v>
      </c>
      <c r="E41">
        <v>0.36141000000000001</v>
      </c>
      <c r="F41">
        <v>0.39314579999999999</v>
      </c>
      <c r="G41">
        <v>0.33434229999999998</v>
      </c>
      <c r="H41">
        <v>0.31039820000000001</v>
      </c>
      <c r="I41">
        <v>0.3196889</v>
      </c>
      <c r="J41">
        <v>0.33875480000000002</v>
      </c>
      <c r="K41">
        <v>0.362321</v>
      </c>
      <c r="L41" s="1">
        <v>0.3167315</v>
      </c>
      <c r="M41" s="3">
        <f t="shared" si="0"/>
        <v>0.34968858000000003</v>
      </c>
      <c r="N41" s="4">
        <f>$M$5/M41</f>
        <v>2.9465897056174954</v>
      </c>
      <c r="O41" s="5">
        <f t="shared" si="4"/>
        <v>58.931794112349912</v>
      </c>
    </row>
    <row r="42" spans="1:15" x14ac:dyDescent="0.25">
      <c r="A42">
        <v>5</v>
      </c>
      <c r="B42" t="s">
        <v>15</v>
      </c>
      <c r="C42">
        <v>0.65695380000000003</v>
      </c>
      <c r="D42">
        <v>0.52870410000000001</v>
      </c>
      <c r="E42">
        <v>0.50411720000000004</v>
      </c>
      <c r="F42">
        <v>0.59081159999999999</v>
      </c>
      <c r="G42">
        <v>0.51343490000000003</v>
      </c>
      <c r="H42">
        <v>0.51283520000000005</v>
      </c>
      <c r="I42">
        <v>0.51325759999999998</v>
      </c>
      <c r="J42">
        <v>0.52583139999999995</v>
      </c>
      <c r="K42">
        <v>0.52409360000000005</v>
      </c>
      <c r="L42" s="1">
        <v>0.5208488</v>
      </c>
      <c r="M42" s="3">
        <f t="shared" si="0"/>
        <v>0.53908882000000014</v>
      </c>
      <c r="N42" s="4">
        <f>$M$6/M42</f>
        <v>2.8422402267589217</v>
      </c>
      <c r="O42" s="5">
        <f t="shared" si="4"/>
        <v>56.84480453517844</v>
      </c>
    </row>
    <row r="43" spans="1:15" x14ac:dyDescent="0.25">
      <c r="A43">
        <v>5</v>
      </c>
      <c r="B43" t="s">
        <v>16</v>
      </c>
      <c r="C43">
        <v>1.1275545</v>
      </c>
      <c r="D43">
        <v>1.0994183</v>
      </c>
      <c r="E43">
        <v>1.1038002</v>
      </c>
      <c r="F43">
        <v>1.1221242</v>
      </c>
      <c r="G43">
        <v>1.1289875</v>
      </c>
      <c r="H43">
        <v>1.1119475000000001</v>
      </c>
      <c r="I43">
        <v>1.1048735000000001</v>
      </c>
      <c r="J43">
        <v>1.1143860000000001</v>
      </c>
      <c r="K43">
        <v>1.1136731</v>
      </c>
      <c r="L43" s="1">
        <v>1.1062231</v>
      </c>
      <c r="M43" s="3">
        <f t="shared" si="0"/>
        <v>1.11329879</v>
      </c>
      <c r="N43" s="4">
        <f>$M$7/M43</f>
        <v>3.0647871179308477</v>
      </c>
      <c r="O43" s="5">
        <f t="shared" si="4"/>
        <v>61.295742358616955</v>
      </c>
    </row>
    <row r="44" spans="1:15" x14ac:dyDescent="0.25">
      <c r="A44">
        <v>5</v>
      </c>
      <c r="B44" t="s">
        <v>17</v>
      </c>
      <c r="C44">
        <v>1.9612411000000001</v>
      </c>
      <c r="D44">
        <v>2.2178391</v>
      </c>
      <c r="E44">
        <v>2.1734309000000001</v>
      </c>
      <c r="F44">
        <v>1.9535408999999999</v>
      </c>
      <c r="G44">
        <v>2.2086782999999999</v>
      </c>
      <c r="H44">
        <v>2.1980164000000002</v>
      </c>
      <c r="I44">
        <v>1.9468452999999999</v>
      </c>
      <c r="J44">
        <v>1.9236184999999999</v>
      </c>
      <c r="K44">
        <v>1.9012872000000001</v>
      </c>
      <c r="L44" s="1">
        <v>1.9513857999999999</v>
      </c>
      <c r="M44" s="3">
        <f t="shared" si="0"/>
        <v>2.0435883499999998</v>
      </c>
      <c r="N44" s="4">
        <f>$M$8/M44</f>
        <v>3.0037863349534168</v>
      </c>
      <c r="O44" s="5">
        <f t="shared" si="4"/>
        <v>60.075726699068333</v>
      </c>
    </row>
    <row r="45" spans="1:15" x14ac:dyDescent="0.25">
      <c r="A45">
        <v>5</v>
      </c>
      <c r="B45" t="s">
        <v>18</v>
      </c>
      <c r="C45">
        <v>4.3503973</v>
      </c>
      <c r="D45">
        <v>4.8998841999999998</v>
      </c>
      <c r="E45">
        <v>4.8481215000000004</v>
      </c>
      <c r="F45">
        <v>4.2556814000000003</v>
      </c>
      <c r="G45">
        <v>4.2900491000000001</v>
      </c>
      <c r="H45">
        <v>4.8280694999999998</v>
      </c>
      <c r="I45">
        <v>4.3296735999999996</v>
      </c>
      <c r="J45">
        <v>4.8997542000000003</v>
      </c>
      <c r="K45">
        <v>4.9148462000000004</v>
      </c>
      <c r="L45" s="1">
        <v>4.8491222</v>
      </c>
      <c r="M45" s="3">
        <f t="shared" si="0"/>
        <v>4.6465599199999996</v>
      </c>
      <c r="N45" s="4">
        <f>$M$9/M45</f>
        <v>2.9648358521544691</v>
      </c>
      <c r="O45" s="5">
        <f t="shared" si="4"/>
        <v>59.296717043089387</v>
      </c>
    </row>
    <row r="46" spans="1:15" x14ac:dyDescent="0.25">
      <c r="L46" s="1"/>
    </row>
    <row r="47" spans="1:15" x14ac:dyDescent="0.25">
      <c r="A47">
        <v>6</v>
      </c>
      <c r="B47" t="s">
        <v>11</v>
      </c>
      <c r="C47">
        <v>0.182424</v>
      </c>
      <c r="D47">
        <v>0.1202086</v>
      </c>
      <c r="E47">
        <v>8.2415000000000002E-2</v>
      </c>
      <c r="F47">
        <v>7.91375E-2</v>
      </c>
      <c r="G47">
        <v>9.5650399999999997E-2</v>
      </c>
      <c r="H47">
        <v>8.2925100000000002E-2</v>
      </c>
      <c r="I47">
        <v>9.3847799999999995E-2</v>
      </c>
      <c r="J47">
        <v>8.6024600000000007E-2</v>
      </c>
      <c r="K47">
        <v>9.0722899999999995E-2</v>
      </c>
      <c r="L47" s="1">
        <v>9.2720200000000003E-2</v>
      </c>
      <c r="M47" s="3">
        <f t="shared" si="0"/>
        <v>0.10060761</v>
      </c>
      <c r="N47" s="4">
        <f>$M$2/M47</f>
        <v>1.9499066720698361</v>
      </c>
      <c r="O47" s="5">
        <f>100*(N47/A47)</f>
        <v>32.498444534497267</v>
      </c>
    </row>
    <row r="48" spans="1:15" x14ac:dyDescent="0.25">
      <c r="A48">
        <v>6</v>
      </c>
      <c r="B48" t="s">
        <v>12</v>
      </c>
      <c r="C48">
        <v>0.17959049999999999</v>
      </c>
      <c r="D48">
        <v>0.15196609999999999</v>
      </c>
      <c r="E48">
        <v>0.16454849999999999</v>
      </c>
      <c r="F48">
        <v>0.16000139999999999</v>
      </c>
      <c r="G48">
        <v>0.14837400000000001</v>
      </c>
      <c r="H48">
        <v>0.1502715</v>
      </c>
      <c r="I48">
        <v>0.15081420000000001</v>
      </c>
      <c r="J48">
        <v>0.12850929999999999</v>
      </c>
      <c r="K48">
        <v>0.14238819999999999</v>
      </c>
      <c r="L48" s="1">
        <v>0.1396184</v>
      </c>
      <c r="M48" s="3">
        <f t="shared" si="0"/>
        <v>0.15160820999999999</v>
      </c>
      <c r="N48" s="4">
        <f>$M$3/M48</f>
        <v>2.4913644848125314</v>
      </c>
      <c r="O48" s="5">
        <f t="shared" ref="O48:O54" si="5">100*(N48/A48)</f>
        <v>41.522741413542192</v>
      </c>
    </row>
    <row r="49" spans="1:15" x14ac:dyDescent="0.25">
      <c r="A49">
        <v>6</v>
      </c>
      <c r="B49" t="s">
        <v>13</v>
      </c>
      <c r="C49">
        <v>0.2919428</v>
      </c>
      <c r="D49">
        <v>0.31080390000000002</v>
      </c>
      <c r="E49">
        <v>0.28584169999999998</v>
      </c>
      <c r="F49">
        <v>0.27679819999999999</v>
      </c>
      <c r="G49">
        <v>0.29104140000000001</v>
      </c>
      <c r="H49">
        <v>0.2754645</v>
      </c>
      <c r="I49">
        <v>0.28684569999999998</v>
      </c>
      <c r="J49">
        <v>0.29910379999999998</v>
      </c>
      <c r="K49">
        <v>0.32307170000000002</v>
      </c>
      <c r="L49" s="1">
        <v>0.29465760000000002</v>
      </c>
      <c r="M49" s="3">
        <f t="shared" si="0"/>
        <v>0.29355712999999994</v>
      </c>
      <c r="N49" s="4">
        <f>$M$4/M49</f>
        <v>3.1282656292490665</v>
      </c>
      <c r="O49" s="5">
        <f t="shared" si="5"/>
        <v>52.137760487484442</v>
      </c>
    </row>
    <row r="50" spans="1:15" x14ac:dyDescent="0.25">
      <c r="A50">
        <v>6</v>
      </c>
      <c r="B50" t="s">
        <v>14</v>
      </c>
      <c r="C50">
        <v>0.31876169999999998</v>
      </c>
      <c r="D50">
        <v>0.30121680000000001</v>
      </c>
      <c r="E50">
        <v>0.31849539999999998</v>
      </c>
      <c r="F50">
        <v>0.32049109999999997</v>
      </c>
      <c r="G50">
        <v>0.31673580000000001</v>
      </c>
      <c r="H50">
        <v>0.3268276</v>
      </c>
      <c r="I50">
        <v>0.3519949</v>
      </c>
      <c r="J50">
        <v>0.29577120000000001</v>
      </c>
      <c r="K50">
        <v>0.33871309999999999</v>
      </c>
      <c r="L50" s="1">
        <v>0.29348059999999998</v>
      </c>
      <c r="M50" s="3">
        <f t="shared" si="0"/>
        <v>0.31824881999999999</v>
      </c>
      <c r="N50" s="4">
        <f>$M$5/M50</f>
        <v>3.2376829236947371</v>
      </c>
      <c r="O50" s="5">
        <f t="shared" si="5"/>
        <v>53.961382061578952</v>
      </c>
    </row>
    <row r="51" spans="1:15" x14ac:dyDescent="0.25">
      <c r="A51">
        <v>6</v>
      </c>
      <c r="B51" t="s">
        <v>15</v>
      </c>
      <c r="C51">
        <v>0.54879529999999999</v>
      </c>
      <c r="D51">
        <v>0.52984699999999996</v>
      </c>
      <c r="E51">
        <v>0.46100750000000001</v>
      </c>
      <c r="F51">
        <v>0.51663230000000004</v>
      </c>
      <c r="G51">
        <v>0.54107629999999995</v>
      </c>
      <c r="H51">
        <v>0.46719319999999998</v>
      </c>
      <c r="I51">
        <v>0.52694969999999997</v>
      </c>
      <c r="J51">
        <v>0.58504590000000001</v>
      </c>
      <c r="K51">
        <v>0.53459769999999995</v>
      </c>
      <c r="L51" s="1">
        <v>0.56878960000000001</v>
      </c>
      <c r="M51" s="3">
        <f t="shared" si="0"/>
        <v>0.52799344999999998</v>
      </c>
      <c r="N51" s="4">
        <f>$M$6/M51</f>
        <v>2.9019676853945819</v>
      </c>
      <c r="O51" s="5">
        <f t="shared" si="5"/>
        <v>48.366128089909701</v>
      </c>
    </row>
    <row r="52" spans="1:15" x14ac:dyDescent="0.25">
      <c r="A52">
        <v>6</v>
      </c>
      <c r="B52" t="s">
        <v>16</v>
      </c>
      <c r="C52">
        <v>1.1299927000000001</v>
      </c>
      <c r="D52">
        <v>1.0160419999999999</v>
      </c>
      <c r="E52">
        <v>0.97347660000000003</v>
      </c>
      <c r="F52">
        <v>1.0136381000000001</v>
      </c>
      <c r="G52">
        <v>1.1016439</v>
      </c>
      <c r="H52">
        <v>1.0070371</v>
      </c>
      <c r="I52">
        <v>1.0203799</v>
      </c>
      <c r="J52">
        <v>1.0000963</v>
      </c>
      <c r="K52">
        <v>1.0109504</v>
      </c>
      <c r="L52" s="1">
        <v>1.0150144999999999</v>
      </c>
      <c r="M52" s="3">
        <f t="shared" si="0"/>
        <v>1.0288271500000001</v>
      </c>
      <c r="N52" s="4">
        <f>$M$7/M52</f>
        <v>3.3164208292909065</v>
      </c>
      <c r="O52" s="5">
        <f t="shared" si="5"/>
        <v>55.273680488181775</v>
      </c>
    </row>
    <row r="53" spans="1:15" x14ac:dyDescent="0.25">
      <c r="A53">
        <v>6</v>
      </c>
      <c r="B53" t="s">
        <v>17</v>
      </c>
      <c r="C53">
        <v>1.9562246000000001</v>
      </c>
      <c r="D53">
        <v>1.9375614000000001</v>
      </c>
      <c r="E53">
        <v>1.7788339</v>
      </c>
      <c r="F53">
        <v>1.8013691999999999</v>
      </c>
      <c r="G53">
        <v>1.7652935000000001</v>
      </c>
      <c r="H53">
        <v>2.0538417999999998</v>
      </c>
      <c r="I53">
        <v>1.9989779999999999</v>
      </c>
      <c r="J53">
        <v>1.7319465999999999</v>
      </c>
      <c r="K53">
        <v>1.7807312</v>
      </c>
      <c r="L53" s="1">
        <v>1.806101</v>
      </c>
      <c r="M53" s="3">
        <f t="shared" si="0"/>
        <v>1.8610881200000002</v>
      </c>
      <c r="N53" s="4">
        <f>$M$8/M53</f>
        <v>3.298340736278516</v>
      </c>
      <c r="O53" s="5">
        <f t="shared" si="5"/>
        <v>54.972345604641937</v>
      </c>
    </row>
    <row r="54" spans="1:15" x14ac:dyDescent="0.25">
      <c r="A54">
        <v>6</v>
      </c>
      <c r="B54" t="s">
        <v>18</v>
      </c>
      <c r="C54">
        <v>4.4804614000000003</v>
      </c>
      <c r="D54">
        <v>4.0427869999999997</v>
      </c>
      <c r="E54">
        <v>3.9380283999999999</v>
      </c>
      <c r="F54">
        <v>3.875731</v>
      </c>
      <c r="G54">
        <v>4.3134281000000003</v>
      </c>
      <c r="H54">
        <v>3.9187397000000002</v>
      </c>
      <c r="I54">
        <v>4.3247166999999997</v>
      </c>
      <c r="J54">
        <v>4.3963825999999999</v>
      </c>
      <c r="K54">
        <v>4.3275556999999996</v>
      </c>
      <c r="L54" s="1">
        <v>3.9860837</v>
      </c>
      <c r="M54" s="3">
        <f t="shared" si="0"/>
        <v>4.1603914299999998</v>
      </c>
      <c r="N54" s="4">
        <f>$M$9/M54</f>
        <v>3.3112959854356783</v>
      </c>
      <c r="O54" s="5">
        <f t="shared" si="5"/>
        <v>55.188266423927971</v>
      </c>
    </row>
    <row r="55" spans="1:15" x14ac:dyDescent="0.25">
      <c r="L55" s="1"/>
    </row>
    <row r="56" spans="1:15" x14ac:dyDescent="0.25">
      <c r="A56">
        <v>7</v>
      </c>
      <c r="B56" t="s">
        <v>11</v>
      </c>
      <c r="C56">
        <v>0.20928769999999999</v>
      </c>
      <c r="D56">
        <v>0.1154424</v>
      </c>
      <c r="E56">
        <v>8.6531999999999998E-2</v>
      </c>
      <c r="F56">
        <v>8.9795100000000003E-2</v>
      </c>
      <c r="G56">
        <v>9.3341300000000002E-2</v>
      </c>
      <c r="H56">
        <v>9.28398E-2</v>
      </c>
      <c r="I56">
        <v>7.4655299999999994E-2</v>
      </c>
      <c r="J56">
        <v>8.3547999999999997E-2</v>
      </c>
      <c r="K56">
        <v>8.6740399999999995E-2</v>
      </c>
      <c r="L56" s="1">
        <v>8.0534999999999995E-2</v>
      </c>
      <c r="M56" s="3">
        <f t="shared" si="0"/>
        <v>0.10127169999999999</v>
      </c>
      <c r="N56" s="4">
        <f>$M$2/M56</f>
        <v>1.9371201431396925</v>
      </c>
      <c r="O56" s="5">
        <f>100*(N56/A56)</f>
        <v>27.673144901995606</v>
      </c>
    </row>
    <row r="57" spans="1:15" x14ac:dyDescent="0.25">
      <c r="A57">
        <v>7</v>
      </c>
      <c r="B57" t="s">
        <v>12</v>
      </c>
      <c r="C57">
        <v>0.13618050000000001</v>
      </c>
      <c r="D57">
        <v>0.1381289</v>
      </c>
      <c r="E57">
        <v>0.13150220000000001</v>
      </c>
      <c r="F57">
        <v>0.14637230000000001</v>
      </c>
      <c r="G57">
        <v>0.1497512</v>
      </c>
      <c r="H57">
        <v>0.14893020000000001</v>
      </c>
      <c r="I57">
        <v>0.1569943</v>
      </c>
      <c r="J57">
        <v>0.12889690000000001</v>
      </c>
      <c r="K57">
        <v>0.13656070000000001</v>
      </c>
      <c r="L57" s="1">
        <v>0.1306812</v>
      </c>
      <c r="M57" s="3">
        <f t="shared" si="0"/>
        <v>0.14039984</v>
      </c>
      <c r="N57" s="4">
        <f>$M$3/M57</f>
        <v>2.6902545615436599</v>
      </c>
      <c r="O57" s="5">
        <f t="shared" ref="O57:O63" si="6">100*(N57/A57)</f>
        <v>38.432208022052286</v>
      </c>
    </row>
    <row r="58" spans="1:15" x14ac:dyDescent="0.25">
      <c r="A58">
        <v>7</v>
      </c>
      <c r="B58" t="s">
        <v>13</v>
      </c>
      <c r="C58">
        <v>0.2905104</v>
      </c>
      <c r="D58">
        <v>0.30857489999999999</v>
      </c>
      <c r="E58">
        <v>0.28857969999999999</v>
      </c>
      <c r="F58">
        <v>0.28581849999999998</v>
      </c>
      <c r="G58">
        <v>0.28970570000000001</v>
      </c>
      <c r="H58">
        <v>0.26366489999999998</v>
      </c>
      <c r="I58">
        <v>0.28645480000000001</v>
      </c>
      <c r="J58">
        <v>0.30103839999999998</v>
      </c>
      <c r="K58">
        <v>0.28790749999999998</v>
      </c>
      <c r="L58" s="1">
        <v>0.28882920000000001</v>
      </c>
      <c r="M58" s="3">
        <f t="shared" si="0"/>
        <v>0.28910839999999999</v>
      </c>
      <c r="N58" s="4">
        <f>$M$4/M58</f>
        <v>3.1764026226840865</v>
      </c>
      <c r="O58" s="5">
        <f t="shared" si="6"/>
        <v>45.377180324058379</v>
      </c>
    </row>
    <row r="59" spans="1:15" x14ac:dyDescent="0.25">
      <c r="A59">
        <v>7</v>
      </c>
      <c r="B59" t="s">
        <v>14</v>
      </c>
      <c r="C59">
        <v>0.31182799999999999</v>
      </c>
      <c r="D59">
        <v>0.29676900000000001</v>
      </c>
      <c r="E59">
        <v>0.29170000000000001</v>
      </c>
      <c r="F59">
        <v>0.2798525</v>
      </c>
      <c r="G59">
        <v>0.29793760000000002</v>
      </c>
      <c r="H59">
        <v>0.28391880000000003</v>
      </c>
      <c r="I59">
        <v>0.2819567</v>
      </c>
      <c r="J59">
        <v>0.2987747</v>
      </c>
      <c r="K59">
        <v>0.3267021</v>
      </c>
      <c r="L59" s="1">
        <v>0.30361769999999999</v>
      </c>
      <c r="M59" s="3">
        <f t="shared" si="0"/>
        <v>0.29730571</v>
      </c>
      <c r="N59" s="4">
        <f>$M$5/M59</f>
        <v>3.4657550640382926</v>
      </c>
      <c r="O59" s="5">
        <f t="shared" si="6"/>
        <v>49.510786629118464</v>
      </c>
    </row>
    <row r="60" spans="1:15" x14ac:dyDescent="0.25">
      <c r="A60">
        <v>7</v>
      </c>
      <c r="B60" t="s">
        <v>15</v>
      </c>
      <c r="C60">
        <v>0.49652819999999998</v>
      </c>
      <c r="D60">
        <v>0.47784949999999998</v>
      </c>
      <c r="E60">
        <v>0.51170119999999997</v>
      </c>
      <c r="F60">
        <v>0.51789019999999997</v>
      </c>
      <c r="G60">
        <v>0.47136990000000001</v>
      </c>
      <c r="H60">
        <v>0.51599830000000002</v>
      </c>
      <c r="I60">
        <v>0.49653950000000002</v>
      </c>
      <c r="J60">
        <v>0.48992809999999998</v>
      </c>
      <c r="K60">
        <v>0.45172289999999998</v>
      </c>
      <c r="L60" s="1">
        <v>0.49750620000000001</v>
      </c>
      <c r="M60" s="3">
        <f t="shared" si="0"/>
        <v>0.49270340000000001</v>
      </c>
      <c r="N60" s="4">
        <f>$M$6/M60</f>
        <v>3.1098221161047395</v>
      </c>
      <c r="O60" s="5">
        <f t="shared" si="6"/>
        <v>44.42603023006771</v>
      </c>
    </row>
    <row r="61" spans="1:15" x14ac:dyDescent="0.25">
      <c r="A61">
        <v>7</v>
      </c>
      <c r="B61" t="s">
        <v>16</v>
      </c>
      <c r="C61">
        <v>1.1587976</v>
      </c>
      <c r="D61">
        <v>0.93143920000000002</v>
      </c>
      <c r="E61">
        <v>1.1117174999999999</v>
      </c>
      <c r="F61">
        <v>1.1206544000000001</v>
      </c>
      <c r="G61">
        <v>0.91422970000000003</v>
      </c>
      <c r="H61">
        <v>0.95354919999999999</v>
      </c>
      <c r="I61">
        <v>1.0834055</v>
      </c>
      <c r="J61">
        <v>1.0484142000000001</v>
      </c>
      <c r="K61">
        <v>1.0194253</v>
      </c>
      <c r="L61" s="1">
        <v>1.0580259000000001</v>
      </c>
      <c r="M61" s="3">
        <f t="shared" si="0"/>
        <v>1.0399658500000002</v>
      </c>
      <c r="N61" s="4">
        <f>$M$7/M61</f>
        <v>3.2808998391629873</v>
      </c>
      <c r="O61" s="5">
        <f t="shared" si="6"/>
        <v>46.869997702328391</v>
      </c>
    </row>
    <row r="62" spans="1:15" x14ac:dyDescent="0.25">
      <c r="A62">
        <v>7</v>
      </c>
      <c r="B62" t="s">
        <v>17</v>
      </c>
      <c r="C62">
        <v>1.8484887999999999</v>
      </c>
      <c r="D62">
        <v>1.6111319</v>
      </c>
      <c r="E62">
        <v>1.8113897000000001</v>
      </c>
      <c r="F62">
        <v>1.7521361</v>
      </c>
      <c r="G62">
        <v>1.8348426</v>
      </c>
      <c r="H62">
        <v>1.6135845</v>
      </c>
      <c r="I62">
        <v>1.8966927</v>
      </c>
      <c r="J62">
        <v>1.8465483</v>
      </c>
      <c r="K62">
        <v>1.9063079999999999</v>
      </c>
      <c r="L62" s="1">
        <v>1.9165467</v>
      </c>
      <c r="M62" s="3">
        <f t="shared" si="0"/>
        <v>1.8037669300000001</v>
      </c>
      <c r="N62" s="4">
        <f>$M$8/M62</f>
        <v>3.4031573912933415</v>
      </c>
      <c r="O62" s="5">
        <f t="shared" si="6"/>
        <v>48.616534161333455</v>
      </c>
    </row>
    <row r="63" spans="1:15" x14ac:dyDescent="0.25">
      <c r="A63">
        <v>7</v>
      </c>
      <c r="B63" t="s">
        <v>18</v>
      </c>
      <c r="C63">
        <v>4.4230231</v>
      </c>
      <c r="D63">
        <v>4.0514558000000003</v>
      </c>
      <c r="E63">
        <v>4.0759506999999999</v>
      </c>
      <c r="F63">
        <v>3.7867128000000001</v>
      </c>
      <c r="G63">
        <v>3.5386164999999998</v>
      </c>
      <c r="H63">
        <v>3.7344925999999998</v>
      </c>
      <c r="I63">
        <v>3.9373572999999999</v>
      </c>
      <c r="J63">
        <v>3.5489594000000002</v>
      </c>
      <c r="K63">
        <v>3.9286634</v>
      </c>
      <c r="L63" s="1">
        <v>3.5690542000000001</v>
      </c>
      <c r="M63" s="3">
        <f t="shared" si="0"/>
        <v>3.8594285799999994</v>
      </c>
      <c r="N63" s="4">
        <f>$M$9/M63</f>
        <v>3.5695148010745164</v>
      </c>
      <c r="O63" s="5">
        <f t="shared" si="6"/>
        <v>50.993068586778797</v>
      </c>
    </row>
    <row r="64" spans="1:15" x14ac:dyDescent="0.25">
      <c r="L64" s="1"/>
    </row>
    <row r="65" spans="1:15" x14ac:dyDescent="0.25">
      <c r="A65">
        <v>8</v>
      </c>
      <c r="B65" t="s">
        <v>11</v>
      </c>
      <c r="C65">
        <v>0.20530290000000001</v>
      </c>
      <c r="D65">
        <v>0.10988630000000001</v>
      </c>
      <c r="E65">
        <v>8.21688E-2</v>
      </c>
      <c r="F65">
        <v>8.0520400000000006E-2</v>
      </c>
      <c r="G65">
        <v>8.8727399999999998E-2</v>
      </c>
      <c r="H65">
        <v>7.4904600000000002E-2</v>
      </c>
      <c r="I65">
        <v>8.5144899999999996E-2</v>
      </c>
      <c r="J65">
        <v>9.4077499999999994E-2</v>
      </c>
      <c r="K65">
        <v>8.8451799999999997E-2</v>
      </c>
      <c r="L65" s="1">
        <v>8.4431099999999995E-2</v>
      </c>
      <c r="M65" s="3">
        <f t="shared" si="0"/>
        <v>9.9361569999999982E-2</v>
      </c>
      <c r="N65" s="4">
        <f>$M$2/M65</f>
        <v>1.9743594027348803</v>
      </c>
      <c r="O65" s="5">
        <f>100*(N65/A65)</f>
        <v>24.679492534186004</v>
      </c>
    </row>
    <row r="66" spans="1:15" x14ac:dyDescent="0.25">
      <c r="A66">
        <v>8</v>
      </c>
      <c r="B66" t="s">
        <v>12</v>
      </c>
      <c r="C66">
        <v>0.14984839999999999</v>
      </c>
      <c r="D66">
        <v>0.1338097</v>
      </c>
      <c r="E66">
        <v>0.1220281</v>
      </c>
      <c r="F66">
        <v>0.12709590000000001</v>
      </c>
      <c r="G66">
        <v>0.1352401</v>
      </c>
      <c r="H66">
        <v>0.1462686</v>
      </c>
      <c r="I66">
        <v>0.1452061</v>
      </c>
      <c r="J66">
        <v>0.13125110000000001</v>
      </c>
      <c r="K66">
        <v>0.12746089999999999</v>
      </c>
      <c r="L66" s="1">
        <v>0.1303637</v>
      </c>
      <c r="M66" s="3">
        <f t="shared" si="0"/>
        <v>0.13485726000000001</v>
      </c>
      <c r="N66" s="4">
        <f>$M$3/M66</f>
        <v>2.8008229590309042</v>
      </c>
      <c r="O66" s="5">
        <f t="shared" ref="O66:O72" si="7">100*(N66/A66)</f>
        <v>35.010286987886303</v>
      </c>
    </row>
    <row r="67" spans="1:15" x14ac:dyDescent="0.25">
      <c r="A67">
        <v>8</v>
      </c>
      <c r="B67" t="s">
        <v>13</v>
      </c>
      <c r="C67">
        <v>0.31011240000000001</v>
      </c>
      <c r="D67">
        <v>0.2523223</v>
      </c>
      <c r="E67">
        <v>0.25725179999999997</v>
      </c>
      <c r="F67">
        <v>0.2642738</v>
      </c>
      <c r="G67">
        <v>0.25957069999999999</v>
      </c>
      <c r="H67">
        <v>0.27835910000000003</v>
      </c>
      <c r="I67">
        <v>0.25955689999999998</v>
      </c>
      <c r="J67">
        <v>0.26771640000000002</v>
      </c>
      <c r="K67">
        <v>0.24581339999999999</v>
      </c>
      <c r="L67" s="1">
        <v>0.28590779999999999</v>
      </c>
      <c r="M67" s="3">
        <f t="shared" ref="M67:M108" si="8">AVERAGE(C67:L67)</f>
        <v>0.26808845999999997</v>
      </c>
      <c r="N67" s="4">
        <f>$M$4/M67</f>
        <v>3.4254539714242083</v>
      </c>
      <c r="O67" s="5">
        <f t="shared" si="7"/>
        <v>42.818174642802603</v>
      </c>
    </row>
    <row r="68" spans="1:15" x14ac:dyDescent="0.25">
      <c r="A68">
        <v>8</v>
      </c>
      <c r="B68" t="s">
        <v>14</v>
      </c>
      <c r="C68">
        <v>0.27740219999999999</v>
      </c>
      <c r="D68">
        <v>0.28349780000000002</v>
      </c>
      <c r="E68">
        <v>0.28330939999999999</v>
      </c>
      <c r="F68">
        <v>0.29285319999999998</v>
      </c>
      <c r="G68">
        <v>0.275007</v>
      </c>
      <c r="H68">
        <v>0.2856127</v>
      </c>
      <c r="I68">
        <v>0.28314410000000001</v>
      </c>
      <c r="J68">
        <v>0.30023349999999999</v>
      </c>
      <c r="K68">
        <v>0.28082430000000003</v>
      </c>
      <c r="L68" s="1">
        <v>0.30944840000000001</v>
      </c>
      <c r="M68" s="3">
        <f t="shared" si="8"/>
        <v>0.28713325999999995</v>
      </c>
      <c r="N68" s="4">
        <f>$M$5/M68</f>
        <v>3.5885385413030879</v>
      </c>
      <c r="O68" s="5">
        <f t="shared" si="7"/>
        <v>44.856731766288597</v>
      </c>
    </row>
    <row r="69" spans="1:15" x14ac:dyDescent="0.25">
      <c r="A69">
        <v>8</v>
      </c>
      <c r="B69" t="s">
        <v>15</v>
      </c>
      <c r="C69">
        <v>0.48391329999999999</v>
      </c>
      <c r="D69">
        <v>0.45377250000000002</v>
      </c>
      <c r="E69">
        <v>0.45288899999999999</v>
      </c>
      <c r="F69">
        <v>0.43863839999999998</v>
      </c>
      <c r="G69">
        <v>0.4443203</v>
      </c>
      <c r="H69">
        <v>0.44041859999999999</v>
      </c>
      <c r="I69">
        <v>0.44745679999999999</v>
      </c>
      <c r="J69">
        <v>0.42295759999999999</v>
      </c>
      <c r="K69">
        <v>0.42849549999999997</v>
      </c>
      <c r="L69" s="1">
        <v>0.46764149999999999</v>
      </c>
      <c r="M69" s="3">
        <f t="shared" si="8"/>
        <v>0.44805035000000004</v>
      </c>
      <c r="N69" s="4">
        <f>$M$6/M69</f>
        <v>3.4197494321787714</v>
      </c>
      <c r="O69" s="5">
        <f t="shared" si="7"/>
        <v>42.746867902234641</v>
      </c>
    </row>
    <row r="70" spans="1:15" x14ac:dyDescent="0.25">
      <c r="A70">
        <v>8</v>
      </c>
      <c r="B70" t="s">
        <v>16</v>
      </c>
      <c r="C70">
        <v>0.95528789999999997</v>
      </c>
      <c r="D70">
        <v>0.95242669999999996</v>
      </c>
      <c r="E70">
        <v>0.91959880000000005</v>
      </c>
      <c r="F70">
        <v>0.95197010000000004</v>
      </c>
      <c r="G70">
        <v>0.91773709999999997</v>
      </c>
      <c r="H70">
        <v>0.90652069999999996</v>
      </c>
      <c r="I70">
        <v>0.9084605</v>
      </c>
      <c r="J70">
        <v>0.92039979999999999</v>
      </c>
      <c r="K70">
        <v>0.90063459999999995</v>
      </c>
      <c r="L70" s="1">
        <v>0.95556819999999998</v>
      </c>
      <c r="M70" s="3">
        <f t="shared" si="8"/>
        <v>0.92886044000000001</v>
      </c>
      <c r="N70" s="4">
        <f>$M$7/M70</f>
        <v>3.6733438556173197</v>
      </c>
      <c r="O70" s="5">
        <f t="shared" si="7"/>
        <v>45.916798195216494</v>
      </c>
    </row>
    <row r="71" spans="1:15" x14ac:dyDescent="0.25">
      <c r="A71">
        <v>8</v>
      </c>
      <c r="B71" t="s">
        <v>17</v>
      </c>
      <c r="C71">
        <v>1.5271443</v>
      </c>
      <c r="D71">
        <v>1.8334626000000001</v>
      </c>
      <c r="E71">
        <v>1.6601710999999999</v>
      </c>
      <c r="F71">
        <v>1.7415422</v>
      </c>
      <c r="G71">
        <v>1.4456175</v>
      </c>
      <c r="H71">
        <v>1.6408636999999999</v>
      </c>
      <c r="I71">
        <v>1.6153801999999999</v>
      </c>
      <c r="J71">
        <v>1.5482426</v>
      </c>
      <c r="K71">
        <v>1.7962857000000001</v>
      </c>
      <c r="L71" s="1">
        <v>1.5623442000000001</v>
      </c>
      <c r="M71" s="3">
        <f t="shared" si="8"/>
        <v>1.6371054100000002</v>
      </c>
      <c r="N71" s="4">
        <f>$M$8/M71</f>
        <v>3.749607522218132</v>
      </c>
      <c r="O71" s="5">
        <f t="shared" si="7"/>
        <v>46.870094027726651</v>
      </c>
    </row>
    <row r="72" spans="1:15" x14ac:dyDescent="0.25">
      <c r="A72">
        <v>8</v>
      </c>
      <c r="B72" t="s">
        <v>18</v>
      </c>
      <c r="C72">
        <v>3.9608620999999999</v>
      </c>
      <c r="D72">
        <v>3.6231697</v>
      </c>
      <c r="E72">
        <v>3.8101058999999999</v>
      </c>
      <c r="F72">
        <v>3.7549294</v>
      </c>
      <c r="G72">
        <v>3.691576</v>
      </c>
      <c r="H72">
        <v>3.5003669999999998</v>
      </c>
      <c r="I72">
        <v>3.8070512000000001</v>
      </c>
      <c r="J72">
        <v>3.3741656</v>
      </c>
      <c r="K72">
        <v>3.6498453999999998</v>
      </c>
      <c r="L72" s="1">
        <v>3.6790923000000002</v>
      </c>
      <c r="M72" s="3">
        <f t="shared" si="8"/>
        <v>3.6851164600000006</v>
      </c>
      <c r="N72" s="4">
        <f>$M$9/M72</f>
        <v>3.7383587708921411</v>
      </c>
      <c r="O72" s="5">
        <f t="shared" si="7"/>
        <v>46.729484636151767</v>
      </c>
    </row>
    <row r="73" spans="1:15" x14ac:dyDescent="0.25">
      <c r="L73" s="1"/>
    </row>
    <row r="74" spans="1:15" x14ac:dyDescent="0.25">
      <c r="A74">
        <v>9</v>
      </c>
      <c r="B74" t="s">
        <v>11</v>
      </c>
      <c r="C74">
        <v>0.24906919999999999</v>
      </c>
      <c r="D74">
        <v>0.1231101</v>
      </c>
      <c r="E74">
        <v>9.6812099999999998E-2</v>
      </c>
      <c r="F74">
        <v>9.5211500000000004E-2</v>
      </c>
      <c r="G74">
        <v>9.9256700000000003E-2</v>
      </c>
      <c r="H74">
        <v>9.0898699999999999E-2</v>
      </c>
      <c r="I74">
        <v>8.0432100000000006E-2</v>
      </c>
      <c r="J74">
        <v>9.8188600000000001E-2</v>
      </c>
      <c r="K74">
        <v>8.5830400000000001E-2</v>
      </c>
      <c r="L74" s="1">
        <v>9.5436900000000005E-2</v>
      </c>
      <c r="M74" s="3">
        <f t="shared" si="8"/>
        <v>0.11142462999999998</v>
      </c>
      <c r="N74" s="4">
        <f>$M$2/M74</f>
        <v>1.7606111862341387</v>
      </c>
      <c r="O74" s="5">
        <f>100*(N74/A74)</f>
        <v>19.562346513712654</v>
      </c>
    </row>
    <row r="75" spans="1:15" x14ac:dyDescent="0.25">
      <c r="A75">
        <v>9</v>
      </c>
      <c r="B75" t="s">
        <v>12</v>
      </c>
      <c r="C75">
        <v>0.1279238</v>
      </c>
      <c r="D75">
        <v>0.13217090000000001</v>
      </c>
      <c r="E75">
        <v>0.14422070000000001</v>
      </c>
      <c r="F75">
        <v>0.16057630000000001</v>
      </c>
      <c r="G75">
        <v>0.1240469</v>
      </c>
      <c r="H75">
        <v>0.1414456</v>
      </c>
      <c r="I75">
        <v>0.1373472</v>
      </c>
      <c r="J75">
        <v>0.1407204</v>
      </c>
      <c r="K75">
        <v>0.13016140000000001</v>
      </c>
      <c r="L75" s="1">
        <v>0.14419270000000001</v>
      </c>
      <c r="M75" s="3">
        <f t="shared" si="8"/>
        <v>0.13828058999999998</v>
      </c>
      <c r="N75" s="4">
        <f>$M$3/M75</f>
        <v>2.7314846573911788</v>
      </c>
      <c r="O75" s="5">
        <f t="shared" ref="O75:O81" si="9">100*(N75/A75)</f>
        <v>30.349829526568655</v>
      </c>
    </row>
    <row r="76" spans="1:15" x14ac:dyDescent="0.25">
      <c r="A76">
        <v>9</v>
      </c>
      <c r="B76" t="s">
        <v>13</v>
      </c>
      <c r="C76">
        <v>0.29522710000000002</v>
      </c>
      <c r="D76">
        <v>0.2349234</v>
      </c>
      <c r="E76">
        <v>0.28634219999999999</v>
      </c>
      <c r="F76">
        <v>0.26274389999999997</v>
      </c>
      <c r="G76">
        <v>0.25761109999999998</v>
      </c>
      <c r="H76">
        <v>0.28236640000000002</v>
      </c>
      <c r="I76">
        <v>0.27185799999999999</v>
      </c>
      <c r="J76">
        <v>0.25614569999999998</v>
      </c>
      <c r="K76">
        <v>0.26218619999999998</v>
      </c>
      <c r="L76" s="1">
        <v>0.22967219999999999</v>
      </c>
      <c r="M76" s="3">
        <f t="shared" si="8"/>
        <v>0.26390761999999995</v>
      </c>
      <c r="N76" s="4">
        <f>$M$4/M76</f>
        <v>3.4797202142173842</v>
      </c>
      <c r="O76" s="5">
        <f t="shared" si="9"/>
        <v>38.663557935748713</v>
      </c>
    </row>
    <row r="77" spans="1:15" x14ac:dyDescent="0.25">
      <c r="A77">
        <v>9</v>
      </c>
      <c r="B77" t="s">
        <v>14</v>
      </c>
      <c r="C77">
        <v>0.26303359999999998</v>
      </c>
      <c r="D77">
        <v>0.28818389999999999</v>
      </c>
      <c r="E77">
        <v>0.30196040000000002</v>
      </c>
      <c r="F77">
        <v>0.30969560000000002</v>
      </c>
      <c r="G77">
        <v>0.2976375</v>
      </c>
      <c r="H77">
        <v>0.2940681</v>
      </c>
      <c r="I77">
        <v>0.2788775</v>
      </c>
      <c r="J77">
        <v>0.2946686</v>
      </c>
      <c r="K77">
        <v>0.2597891</v>
      </c>
      <c r="L77" s="1">
        <v>0.23637620000000001</v>
      </c>
      <c r="M77" s="3">
        <f t="shared" si="8"/>
        <v>0.28242905000000001</v>
      </c>
      <c r="N77" s="4">
        <f>$M$5/M77</f>
        <v>3.6483101508148685</v>
      </c>
      <c r="O77" s="5">
        <f t="shared" si="9"/>
        <v>40.536779453498539</v>
      </c>
    </row>
    <row r="78" spans="1:15" x14ac:dyDescent="0.25">
      <c r="A78">
        <v>9</v>
      </c>
      <c r="B78" t="s">
        <v>15</v>
      </c>
      <c r="C78">
        <v>0.4420444</v>
      </c>
      <c r="D78">
        <v>0.4860216</v>
      </c>
      <c r="E78">
        <v>0.43511850000000002</v>
      </c>
      <c r="F78">
        <v>0.4432199</v>
      </c>
      <c r="G78">
        <v>0.44749280000000002</v>
      </c>
      <c r="H78">
        <v>0.46875670000000003</v>
      </c>
      <c r="I78">
        <v>0.47126279999999998</v>
      </c>
      <c r="J78">
        <v>0.4064681</v>
      </c>
      <c r="K78">
        <v>0.47140739999999998</v>
      </c>
      <c r="L78" s="1">
        <v>0.4715974</v>
      </c>
      <c r="M78" s="3">
        <f t="shared" si="8"/>
        <v>0.45433896000000001</v>
      </c>
      <c r="N78" s="4">
        <f>$M$6/M78</f>
        <v>3.3724158940716857</v>
      </c>
      <c r="O78" s="5">
        <f t="shared" si="9"/>
        <v>37.471287711907621</v>
      </c>
    </row>
    <row r="79" spans="1:15" x14ac:dyDescent="0.25">
      <c r="A79">
        <v>9</v>
      </c>
      <c r="B79" t="s">
        <v>16</v>
      </c>
      <c r="C79">
        <v>0.90197130000000003</v>
      </c>
      <c r="D79">
        <v>0.95149130000000004</v>
      </c>
      <c r="E79">
        <v>0.92965540000000002</v>
      </c>
      <c r="F79">
        <v>0.94173300000000004</v>
      </c>
      <c r="G79">
        <v>0.9446677</v>
      </c>
      <c r="H79">
        <v>0.95252079999999995</v>
      </c>
      <c r="I79">
        <v>0.95852289999999996</v>
      </c>
      <c r="J79">
        <v>0.9185875</v>
      </c>
      <c r="K79">
        <v>0.91524119999999998</v>
      </c>
      <c r="L79" s="1">
        <v>0.96880040000000001</v>
      </c>
      <c r="M79" s="3">
        <f t="shared" si="8"/>
        <v>0.9383191500000001</v>
      </c>
      <c r="N79" s="4">
        <f>$M$7/M79</f>
        <v>3.6363147762677546</v>
      </c>
      <c r="O79" s="5">
        <f t="shared" si="9"/>
        <v>40.403497514086162</v>
      </c>
    </row>
    <row r="80" spans="1:15" x14ac:dyDescent="0.25">
      <c r="A80">
        <v>9</v>
      </c>
      <c r="B80" t="s">
        <v>17</v>
      </c>
      <c r="C80">
        <v>1.6021384999999999</v>
      </c>
      <c r="D80">
        <v>1.4536152</v>
      </c>
      <c r="E80">
        <v>1.5300768</v>
      </c>
      <c r="F80">
        <v>1.5017347999999999</v>
      </c>
      <c r="G80">
        <v>1.6156789</v>
      </c>
      <c r="H80">
        <v>1.4558895000000001</v>
      </c>
      <c r="I80">
        <v>1.5499183000000001</v>
      </c>
      <c r="J80">
        <v>1.5379788000000001</v>
      </c>
      <c r="K80">
        <v>1.4939165000000001</v>
      </c>
      <c r="L80" s="1">
        <v>1.6270043000000001</v>
      </c>
      <c r="M80" s="3">
        <f t="shared" si="8"/>
        <v>1.5367951599999998</v>
      </c>
      <c r="N80" s="4">
        <f>$M$8/M80</f>
        <v>3.9943532617580604</v>
      </c>
      <c r="O80" s="5">
        <f t="shared" si="9"/>
        <v>44.381702908422895</v>
      </c>
    </row>
    <row r="81" spans="1:15" x14ac:dyDescent="0.25">
      <c r="A81">
        <v>9</v>
      </c>
      <c r="B81" t="s">
        <v>18</v>
      </c>
      <c r="C81">
        <v>3.5043354999999998</v>
      </c>
      <c r="D81">
        <v>3.2855954000000001</v>
      </c>
      <c r="E81">
        <v>3.2785928000000002</v>
      </c>
      <c r="F81">
        <v>3.3104509000000002</v>
      </c>
      <c r="G81">
        <v>3.3409314999999999</v>
      </c>
      <c r="H81">
        <v>3.445119</v>
      </c>
      <c r="I81">
        <v>3.3916860999999998</v>
      </c>
      <c r="J81">
        <v>3.2940372999999998</v>
      </c>
      <c r="K81">
        <v>3.3137606000000002</v>
      </c>
      <c r="L81" s="1">
        <v>3.2604772</v>
      </c>
      <c r="M81" s="3">
        <f t="shared" si="8"/>
        <v>3.3424986300000001</v>
      </c>
      <c r="N81" s="4">
        <f>$M$9/M81</f>
        <v>4.1215536534116692</v>
      </c>
      <c r="O81" s="5">
        <f t="shared" si="9"/>
        <v>45.795040593462993</v>
      </c>
    </row>
    <row r="82" spans="1:15" x14ac:dyDescent="0.25">
      <c r="L82" s="1"/>
    </row>
    <row r="83" spans="1:15" x14ac:dyDescent="0.25">
      <c r="A83">
        <v>10</v>
      </c>
      <c r="B83" t="s">
        <v>11</v>
      </c>
      <c r="C83">
        <v>0.26748129999999998</v>
      </c>
      <c r="D83">
        <v>0.1250358</v>
      </c>
      <c r="E83">
        <v>8.9976899999999999E-2</v>
      </c>
      <c r="F83">
        <v>9.5617499999999994E-2</v>
      </c>
      <c r="G83">
        <v>9.2839400000000002E-2</v>
      </c>
      <c r="H83">
        <v>9.1536400000000004E-2</v>
      </c>
      <c r="I83">
        <v>9.0814199999999998E-2</v>
      </c>
      <c r="J83">
        <v>9.3507699999999999E-2</v>
      </c>
      <c r="K83">
        <v>9.8137000000000002E-2</v>
      </c>
      <c r="L83" s="1">
        <v>9.9614599999999998E-2</v>
      </c>
      <c r="M83" s="3">
        <f t="shared" si="8"/>
        <v>0.11445607999999999</v>
      </c>
      <c r="N83" s="4">
        <f>$M$2/M83</f>
        <v>1.7139801572795432</v>
      </c>
      <c r="O83" s="5">
        <f>100*(N83/A83)</f>
        <v>17.139801572795431</v>
      </c>
    </row>
    <row r="84" spans="1:15" x14ac:dyDescent="0.25">
      <c r="A84">
        <v>10</v>
      </c>
      <c r="B84" t="s">
        <v>12</v>
      </c>
      <c r="C84">
        <v>0.14511309999999999</v>
      </c>
      <c r="D84">
        <v>0.14033670000000001</v>
      </c>
      <c r="E84">
        <v>0.13554569999999999</v>
      </c>
      <c r="F84">
        <v>0.139075</v>
      </c>
      <c r="G84">
        <v>0.13963500000000001</v>
      </c>
      <c r="H84">
        <v>0.12615209999999999</v>
      </c>
      <c r="I84">
        <v>0.1488419</v>
      </c>
      <c r="J84">
        <v>0.13119030000000001</v>
      </c>
      <c r="K84">
        <v>0.13816919999999999</v>
      </c>
      <c r="L84" s="1">
        <v>0.14860880000000001</v>
      </c>
      <c r="M84" s="3">
        <f t="shared" si="8"/>
        <v>0.13926678000000001</v>
      </c>
      <c r="N84" s="4">
        <f>$M$3/M84</f>
        <v>2.7121421921293791</v>
      </c>
      <c r="O84" s="5">
        <f t="shared" ref="O84:O90" si="10">100*(N84/A84)</f>
        <v>27.121421921293791</v>
      </c>
    </row>
    <row r="85" spans="1:15" x14ac:dyDescent="0.25">
      <c r="A85">
        <v>10</v>
      </c>
      <c r="B85" t="s">
        <v>13</v>
      </c>
      <c r="C85">
        <v>0.33000689999999999</v>
      </c>
      <c r="D85">
        <v>0.26545200000000002</v>
      </c>
      <c r="E85">
        <v>0.25723859999999998</v>
      </c>
      <c r="F85">
        <v>0.2310075</v>
      </c>
      <c r="G85">
        <v>0.21931229999999999</v>
      </c>
      <c r="H85">
        <v>0.25472139999999999</v>
      </c>
      <c r="I85">
        <v>0.23223350000000001</v>
      </c>
      <c r="J85">
        <v>0.2721654</v>
      </c>
      <c r="K85">
        <v>0.24460760000000001</v>
      </c>
      <c r="L85" s="1">
        <v>0.24676809999999999</v>
      </c>
      <c r="M85" s="3">
        <f t="shared" si="8"/>
        <v>0.25535132999999999</v>
      </c>
      <c r="N85" s="4">
        <f>$M$4/M85</f>
        <v>3.596318374374631</v>
      </c>
      <c r="O85" s="5">
        <f t="shared" si="10"/>
        <v>35.963183743746306</v>
      </c>
    </row>
    <row r="86" spans="1:15" x14ac:dyDescent="0.25">
      <c r="A86">
        <v>10</v>
      </c>
      <c r="B86" t="s">
        <v>14</v>
      </c>
      <c r="C86">
        <v>0.2823524</v>
      </c>
      <c r="D86">
        <v>0.28983389999999998</v>
      </c>
      <c r="E86">
        <v>0.27730559999999999</v>
      </c>
      <c r="F86">
        <v>0.22967119999999999</v>
      </c>
      <c r="G86">
        <v>0.28171230000000003</v>
      </c>
      <c r="H86">
        <v>0.221668</v>
      </c>
      <c r="I86">
        <v>0.28023740000000003</v>
      </c>
      <c r="J86">
        <v>0.24311070000000001</v>
      </c>
      <c r="K86">
        <v>0.25883050000000002</v>
      </c>
      <c r="L86" s="1">
        <v>0.26903529999999998</v>
      </c>
      <c r="M86" s="3">
        <f t="shared" si="8"/>
        <v>0.26337573000000003</v>
      </c>
      <c r="N86" s="4">
        <f>$M$5/M86</f>
        <v>3.912238876376346</v>
      </c>
      <c r="O86" s="5">
        <f t="shared" si="10"/>
        <v>39.12238876376346</v>
      </c>
    </row>
    <row r="87" spans="1:15" x14ac:dyDescent="0.25">
      <c r="A87">
        <v>10</v>
      </c>
      <c r="B87" t="s">
        <v>15</v>
      </c>
      <c r="C87">
        <v>0.40803970000000001</v>
      </c>
      <c r="D87">
        <v>0.40898200000000001</v>
      </c>
      <c r="E87">
        <v>0.41498439999999998</v>
      </c>
      <c r="F87">
        <v>0.44603700000000002</v>
      </c>
      <c r="G87">
        <v>0.41552349999999999</v>
      </c>
      <c r="H87">
        <v>0.4235003</v>
      </c>
      <c r="I87">
        <v>0.4199717</v>
      </c>
      <c r="J87">
        <v>0.43403950000000002</v>
      </c>
      <c r="K87">
        <v>0.41108479999999997</v>
      </c>
      <c r="L87" s="1">
        <v>0.4305754</v>
      </c>
      <c r="M87" s="3">
        <f t="shared" si="8"/>
        <v>0.42127382999999996</v>
      </c>
      <c r="N87" s="4">
        <f>$M$6/M87</f>
        <v>3.6371115908149338</v>
      </c>
      <c r="O87" s="5">
        <f t="shared" si="10"/>
        <v>36.371115908149335</v>
      </c>
    </row>
    <row r="88" spans="1:15" x14ac:dyDescent="0.25">
      <c r="A88">
        <v>10</v>
      </c>
      <c r="B88" t="s">
        <v>16</v>
      </c>
      <c r="C88">
        <v>0.85345490000000002</v>
      </c>
      <c r="D88">
        <v>0.92058439999999997</v>
      </c>
      <c r="E88">
        <v>0.9323283</v>
      </c>
      <c r="F88">
        <v>0.89103949999999998</v>
      </c>
      <c r="G88">
        <v>0.93339530000000004</v>
      </c>
      <c r="H88">
        <v>0.85881269999999998</v>
      </c>
      <c r="I88">
        <v>0.85104230000000003</v>
      </c>
      <c r="J88">
        <v>0.87791379999999997</v>
      </c>
      <c r="K88">
        <v>0.88069989999999998</v>
      </c>
      <c r="L88" s="1">
        <v>0.88646820000000004</v>
      </c>
      <c r="M88" s="3">
        <f t="shared" si="8"/>
        <v>0.88857392999999996</v>
      </c>
      <c r="N88" s="4">
        <f>$M$7/M88</f>
        <v>3.8398873462335321</v>
      </c>
      <c r="O88" s="5">
        <f t="shared" si="10"/>
        <v>38.398873462335317</v>
      </c>
    </row>
    <row r="89" spans="1:15" x14ac:dyDescent="0.25">
      <c r="A89">
        <v>10</v>
      </c>
      <c r="B89" t="s">
        <v>17</v>
      </c>
      <c r="C89">
        <v>1.4787505999999999</v>
      </c>
      <c r="D89">
        <v>1.4654577</v>
      </c>
      <c r="E89">
        <v>1.6480532000000001</v>
      </c>
      <c r="F89">
        <v>1.5262969</v>
      </c>
      <c r="G89">
        <v>1.6353464</v>
      </c>
      <c r="H89">
        <v>1.5568310999999999</v>
      </c>
      <c r="I89">
        <v>1.5595060000000001</v>
      </c>
      <c r="J89">
        <v>1.5774269000000001</v>
      </c>
      <c r="K89">
        <v>1.5782061999999999</v>
      </c>
      <c r="L89" s="1">
        <v>1.5321236</v>
      </c>
      <c r="M89" s="3">
        <f t="shared" si="8"/>
        <v>1.55579986</v>
      </c>
      <c r="N89" s="4">
        <f>$M$8/M89</f>
        <v>3.9455606841358115</v>
      </c>
      <c r="O89" s="5">
        <f t="shared" si="10"/>
        <v>39.455606841358119</v>
      </c>
    </row>
    <row r="90" spans="1:15" x14ac:dyDescent="0.25">
      <c r="A90">
        <v>10</v>
      </c>
      <c r="B90" t="s">
        <v>18</v>
      </c>
      <c r="C90">
        <v>3.2734918</v>
      </c>
      <c r="D90">
        <v>3.3277358000000001</v>
      </c>
      <c r="E90">
        <v>3.5084517000000002</v>
      </c>
      <c r="F90">
        <v>3.3526150000000001</v>
      </c>
      <c r="G90">
        <v>3.0693902</v>
      </c>
      <c r="H90">
        <v>3.4842564999999999</v>
      </c>
      <c r="I90">
        <v>3.4034089999999999</v>
      </c>
      <c r="J90">
        <v>3.4568957</v>
      </c>
      <c r="K90">
        <v>3.6073105999999999</v>
      </c>
      <c r="L90" s="1">
        <v>3.2966899999999999</v>
      </c>
      <c r="M90" s="3">
        <f t="shared" si="8"/>
        <v>3.3780246300000001</v>
      </c>
      <c r="N90" s="4">
        <f>$M$9/M90</f>
        <v>4.0782081094536009</v>
      </c>
      <c r="O90" s="5">
        <f t="shared" si="10"/>
        <v>40.782081094536011</v>
      </c>
    </row>
    <row r="91" spans="1:15" x14ac:dyDescent="0.25">
      <c r="L91" s="1"/>
    </row>
    <row r="92" spans="1:15" x14ac:dyDescent="0.25">
      <c r="A92">
        <v>11</v>
      </c>
      <c r="B92" t="s">
        <v>11</v>
      </c>
      <c r="C92">
        <v>0.31687169999999998</v>
      </c>
      <c r="D92">
        <v>0.15500059999999999</v>
      </c>
      <c r="E92">
        <v>0.1074861</v>
      </c>
      <c r="F92">
        <v>0.1097103</v>
      </c>
      <c r="G92">
        <v>0.1153986</v>
      </c>
      <c r="H92">
        <v>0.1003487</v>
      </c>
      <c r="I92">
        <v>0.1027372</v>
      </c>
      <c r="J92">
        <v>0.10734009999999999</v>
      </c>
      <c r="K92">
        <v>0.1040991</v>
      </c>
      <c r="L92" s="1">
        <v>0.1110758</v>
      </c>
      <c r="M92" s="3">
        <f t="shared" si="8"/>
        <v>0.13300682000000003</v>
      </c>
      <c r="N92" s="4">
        <f>$M$2/M92</f>
        <v>1.4749277518250563</v>
      </c>
      <c r="O92" s="5">
        <f>100*(N92/A92)</f>
        <v>13.408434107500511</v>
      </c>
    </row>
    <row r="93" spans="1:15" x14ac:dyDescent="0.25">
      <c r="A93">
        <v>11</v>
      </c>
      <c r="B93" t="s">
        <v>12</v>
      </c>
      <c r="C93">
        <v>0.1556476</v>
      </c>
      <c r="D93">
        <v>0.1444793</v>
      </c>
      <c r="E93">
        <v>0.1408799</v>
      </c>
      <c r="F93">
        <v>0.15214720000000001</v>
      </c>
      <c r="G93">
        <v>0.14670739999999999</v>
      </c>
      <c r="H93">
        <v>0.1559508</v>
      </c>
      <c r="I93">
        <v>0.1349754</v>
      </c>
      <c r="J93">
        <v>0.14690980000000001</v>
      </c>
      <c r="K93">
        <v>0.13882410000000001</v>
      </c>
      <c r="L93" s="1">
        <v>0.1512522</v>
      </c>
      <c r="M93" s="3">
        <f t="shared" si="8"/>
        <v>0.14677736999999999</v>
      </c>
      <c r="N93" s="4">
        <f>$M$3/M93</f>
        <v>2.573362024404716</v>
      </c>
      <c r="O93" s="5">
        <f t="shared" ref="O93:O99" si="11">100*(N93/A93)</f>
        <v>23.394200221861052</v>
      </c>
    </row>
    <row r="94" spans="1:15" x14ac:dyDescent="0.25">
      <c r="A94">
        <v>11</v>
      </c>
      <c r="B94" t="s">
        <v>13</v>
      </c>
      <c r="C94">
        <v>0.28887089999999999</v>
      </c>
      <c r="D94">
        <v>0.27190150000000002</v>
      </c>
      <c r="E94">
        <v>0.27137660000000002</v>
      </c>
      <c r="F94">
        <v>0.27992539999999999</v>
      </c>
      <c r="G94">
        <v>0.2271744</v>
      </c>
      <c r="H94">
        <v>0.25468030000000003</v>
      </c>
      <c r="I94">
        <v>0.2436044</v>
      </c>
      <c r="J94">
        <v>0.2630188</v>
      </c>
      <c r="K94">
        <v>0.25514490000000001</v>
      </c>
      <c r="L94" s="1">
        <v>0.25591930000000002</v>
      </c>
      <c r="M94" s="3">
        <f t="shared" si="8"/>
        <v>0.26116164999999997</v>
      </c>
      <c r="N94" s="4">
        <f>$M$4/M94</f>
        <v>3.5163075436228866</v>
      </c>
      <c r="O94" s="5">
        <f t="shared" si="11"/>
        <v>31.966432214753514</v>
      </c>
    </row>
    <row r="95" spans="1:15" x14ac:dyDescent="0.25">
      <c r="A95">
        <v>11</v>
      </c>
      <c r="B95" t="s">
        <v>14</v>
      </c>
      <c r="C95">
        <v>0.22920750000000001</v>
      </c>
      <c r="D95">
        <v>0.27649249999999997</v>
      </c>
      <c r="E95">
        <v>0.26712150000000001</v>
      </c>
      <c r="F95">
        <v>0.2791595</v>
      </c>
      <c r="G95">
        <v>0.2415206</v>
      </c>
      <c r="H95">
        <v>0.2745263</v>
      </c>
      <c r="I95">
        <v>0.27085920000000002</v>
      </c>
      <c r="J95">
        <v>0.27822609999999998</v>
      </c>
      <c r="K95">
        <v>0.28199299999999999</v>
      </c>
      <c r="L95" s="1">
        <v>0.2589419</v>
      </c>
      <c r="M95" s="3">
        <f t="shared" si="8"/>
        <v>0.26580481</v>
      </c>
      <c r="N95" s="4">
        <f>$M$5/M95</f>
        <v>3.8764865466505292</v>
      </c>
      <c r="O95" s="5">
        <f t="shared" si="11"/>
        <v>35.240786787732084</v>
      </c>
    </row>
    <row r="96" spans="1:15" x14ac:dyDescent="0.25">
      <c r="A96">
        <v>11</v>
      </c>
      <c r="B96" t="s">
        <v>15</v>
      </c>
      <c r="C96">
        <v>0.38633689999999998</v>
      </c>
      <c r="D96">
        <v>0.40565050000000002</v>
      </c>
      <c r="E96">
        <v>0.40348820000000002</v>
      </c>
      <c r="F96">
        <v>0.41052620000000001</v>
      </c>
      <c r="G96">
        <v>0.4244388</v>
      </c>
      <c r="H96">
        <v>0.41538510000000001</v>
      </c>
      <c r="I96">
        <v>0.44121899999999997</v>
      </c>
      <c r="J96">
        <v>0.4150469</v>
      </c>
      <c r="K96">
        <v>0.3852469</v>
      </c>
      <c r="L96" s="1">
        <v>0.42446319999999998</v>
      </c>
      <c r="M96" s="3">
        <f t="shared" si="8"/>
        <v>0.41118017000000001</v>
      </c>
      <c r="N96" s="4">
        <f>$M$6/M96</f>
        <v>3.7263954874088405</v>
      </c>
      <c r="O96" s="5">
        <f t="shared" si="11"/>
        <v>33.876322612807641</v>
      </c>
    </row>
    <row r="97" spans="1:15" x14ac:dyDescent="0.25">
      <c r="A97">
        <v>11</v>
      </c>
      <c r="B97" t="s">
        <v>16</v>
      </c>
      <c r="C97">
        <v>0.78803990000000002</v>
      </c>
      <c r="D97">
        <v>0.81294100000000002</v>
      </c>
      <c r="E97">
        <v>0.79309450000000004</v>
      </c>
      <c r="F97">
        <v>0.81606939999999994</v>
      </c>
      <c r="G97">
        <v>0.80949380000000004</v>
      </c>
      <c r="H97">
        <v>0.81909379999999998</v>
      </c>
      <c r="I97">
        <v>0.86371569999999998</v>
      </c>
      <c r="J97">
        <v>0.78352650000000001</v>
      </c>
      <c r="K97">
        <v>0.78941749999999999</v>
      </c>
      <c r="L97" s="1">
        <v>0.81556110000000004</v>
      </c>
      <c r="M97" s="3">
        <f t="shared" si="8"/>
        <v>0.80909532000000017</v>
      </c>
      <c r="N97" s="4">
        <f>$M$7/M97</f>
        <v>4.2170850648351292</v>
      </c>
      <c r="O97" s="5">
        <f t="shared" si="11"/>
        <v>38.337136953046631</v>
      </c>
    </row>
    <row r="98" spans="1:15" x14ac:dyDescent="0.25">
      <c r="A98">
        <v>11</v>
      </c>
      <c r="B98" t="s">
        <v>17</v>
      </c>
      <c r="C98">
        <v>1.3367302999999999</v>
      </c>
      <c r="D98">
        <v>1.4223726000000001</v>
      </c>
      <c r="E98">
        <v>1.4131741</v>
      </c>
      <c r="F98">
        <v>1.4115968999999999</v>
      </c>
      <c r="G98">
        <v>1.4667368000000001</v>
      </c>
      <c r="H98">
        <v>1.4731061000000001</v>
      </c>
      <c r="I98">
        <v>1.4810601000000001</v>
      </c>
      <c r="J98">
        <v>1.3640905999999999</v>
      </c>
      <c r="K98">
        <v>1.5021698000000001</v>
      </c>
      <c r="L98" s="1">
        <v>1.3934485999999999</v>
      </c>
      <c r="M98" s="3">
        <f t="shared" si="8"/>
        <v>1.4264485900000001</v>
      </c>
      <c r="N98" s="4">
        <f>$M$8/M98</f>
        <v>4.3033466491771701</v>
      </c>
      <c r="O98" s="5">
        <f t="shared" si="11"/>
        <v>39.121333174337906</v>
      </c>
    </row>
    <row r="99" spans="1:15" x14ac:dyDescent="0.25">
      <c r="A99">
        <v>11</v>
      </c>
      <c r="B99" t="s">
        <v>18</v>
      </c>
      <c r="C99">
        <v>3.0896024999999998</v>
      </c>
      <c r="D99">
        <v>3.2614518000000001</v>
      </c>
      <c r="E99">
        <v>3.1245596</v>
      </c>
      <c r="F99">
        <v>3.1065152999999999</v>
      </c>
      <c r="G99">
        <v>3.2230170999999999</v>
      </c>
      <c r="H99">
        <v>3.1528231999999998</v>
      </c>
      <c r="I99">
        <v>3.2369669000000001</v>
      </c>
      <c r="J99">
        <v>3.1130447999999999</v>
      </c>
      <c r="K99">
        <v>3.0629650000000002</v>
      </c>
      <c r="L99" s="1">
        <v>3.1523243999999999</v>
      </c>
      <c r="M99" s="3">
        <f t="shared" si="8"/>
        <v>3.1523270600000002</v>
      </c>
      <c r="N99" s="4">
        <f>$M$9/M99</f>
        <v>4.3701961052226608</v>
      </c>
      <c r="O99" s="5">
        <f t="shared" si="11"/>
        <v>39.729055502024188</v>
      </c>
    </row>
    <row r="100" spans="1:15" x14ac:dyDescent="0.25">
      <c r="L100" s="1"/>
    </row>
    <row r="101" spans="1:15" x14ac:dyDescent="0.25">
      <c r="A101">
        <v>12</v>
      </c>
      <c r="B101" t="s">
        <v>11</v>
      </c>
      <c r="C101">
        <v>0.30383149999999998</v>
      </c>
      <c r="D101">
        <v>0.12985920000000001</v>
      </c>
      <c r="E101">
        <v>9.5437800000000003E-2</v>
      </c>
      <c r="F101">
        <v>9.8584099999999994E-2</v>
      </c>
      <c r="G101">
        <v>0.1009712</v>
      </c>
      <c r="H101">
        <v>9.1835399999999998E-2</v>
      </c>
      <c r="I101">
        <v>9.5168199999999994E-2</v>
      </c>
      <c r="J101">
        <v>9.6228300000000003E-2</v>
      </c>
      <c r="K101">
        <v>9.4573599999999994E-2</v>
      </c>
      <c r="L101" s="1">
        <v>0.10027129999999999</v>
      </c>
      <c r="M101" s="3">
        <f t="shared" si="8"/>
        <v>0.12067606</v>
      </c>
      <c r="N101" s="4">
        <f>$M$2/M101</f>
        <v>1.6256368495955202</v>
      </c>
      <c r="O101" s="5">
        <f>100*(N101/A101)</f>
        <v>13.546973746629334</v>
      </c>
    </row>
    <row r="102" spans="1:15" x14ac:dyDescent="0.25">
      <c r="A102">
        <v>12</v>
      </c>
      <c r="B102" t="s">
        <v>12</v>
      </c>
      <c r="C102">
        <v>0.14157030000000001</v>
      </c>
      <c r="D102">
        <v>0.1404889</v>
      </c>
      <c r="E102">
        <v>0.14059459999999999</v>
      </c>
      <c r="F102">
        <v>0.13506989999999999</v>
      </c>
      <c r="G102">
        <v>0.13583049999999999</v>
      </c>
      <c r="H102">
        <v>0.15356880000000001</v>
      </c>
      <c r="I102">
        <v>0.15568699999999999</v>
      </c>
      <c r="J102">
        <v>0.1452687</v>
      </c>
      <c r="K102">
        <v>0.13569419999999999</v>
      </c>
      <c r="L102" s="1">
        <v>0.13553599999999999</v>
      </c>
      <c r="M102" s="3">
        <f t="shared" si="8"/>
        <v>0.14193088999999998</v>
      </c>
      <c r="N102" s="4">
        <f>$M$3/M102</f>
        <v>2.6612339991667784</v>
      </c>
      <c r="O102" s="5">
        <f t="shared" ref="O102:O108" si="12">100*(N102/A102)</f>
        <v>22.176949993056486</v>
      </c>
    </row>
    <row r="103" spans="1:15" x14ac:dyDescent="0.25">
      <c r="A103">
        <v>12</v>
      </c>
      <c r="B103" t="s">
        <v>13</v>
      </c>
      <c r="C103">
        <v>0.25253049999999999</v>
      </c>
      <c r="D103">
        <v>0.250635</v>
      </c>
      <c r="E103">
        <v>0.27066259999999998</v>
      </c>
      <c r="F103">
        <v>0.27349089999999998</v>
      </c>
      <c r="G103">
        <v>0.25766679999999997</v>
      </c>
      <c r="H103">
        <v>0.26612530000000001</v>
      </c>
      <c r="I103">
        <v>0.21017449999999999</v>
      </c>
      <c r="J103">
        <v>0.25014940000000002</v>
      </c>
      <c r="K103">
        <v>0.23610729999999999</v>
      </c>
      <c r="L103" s="1">
        <v>0.25559890000000002</v>
      </c>
      <c r="M103" s="3">
        <f t="shared" si="8"/>
        <v>0.25231411999999998</v>
      </c>
      <c r="N103" s="4">
        <f>$M$4/M103</f>
        <v>3.6396087543574653</v>
      </c>
      <c r="O103" s="5">
        <f t="shared" si="12"/>
        <v>30.330072952978878</v>
      </c>
    </row>
    <row r="104" spans="1:15" x14ac:dyDescent="0.25">
      <c r="A104">
        <v>12</v>
      </c>
      <c r="B104" t="s">
        <v>14</v>
      </c>
      <c r="C104">
        <v>0.26683780000000001</v>
      </c>
      <c r="D104">
        <v>0.2495203</v>
      </c>
      <c r="E104">
        <v>0.2467548</v>
      </c>
      <c r="F104">
        <v>0.26204519999999998</v>
      </c>
      <c r="G104">
        <v>0.2825742</v>
      </c>
      <c r="H104">
        <v>0.24797659999999999</v>
      </c>
      <c r="I104">
        <v>0.2703834</v>
      </c>
      <c r="J104">
        <v>0.27291310000000002</v>
      </c>
      <c r="K104">
        <v>0.26212570000000002</v>
      </c>
      <c r="L104" s="1">
        <v>0.2426112</v>
      </c>
      <c r="M104" s="3">
        <f t="shared" si="8"/>
        <v>0.26037422999999998</v>
      </c>
      <c r="N104" s="4">
        <f>$M$5/M104</f>
        <v>3.9573377518965689</v>
      </c>
      <c r="O104" s="5">
        <f t="shared" si="12"/>
        <v>32.977814599138071</v>
      </c>
    </row>
    <row r="105" spans="1:15" x14ac:dyDescent="0.25">
      <c r="A105">
        <v>12</v>
      </c>
      <c r="B105" t="s">
        <v>15</v>
      </c>
      <c r="C105">
        <v>0.45675579999999999</v>
      </c>
      <c r="D105">
        <v>0.40590749999999998</v>
      </c>
      <c r="E105">
        <v>0.4436406</v>
      </c>
      <c r="F105">
        <v>0.46795029999999999</v>
      </c>
      <c r="G105">
        <v>0.39019619999999999</v>
      </c>
      <c r="H105">
        <v>0.40347230000000001</v>
      </c>
      <c r="I105">
        <v>0.43399179999999998</v>
      </c>
      <c r="J105">
        <v>0.3920884</v>
      </c>
      <c r="K105">
        <v>0.41049249999999998</v>
      </c>
      <c r="L105" s="1">
        <v>0.37586720000000001</v>
      </c>
      <c r="M105" s="3">
        <f t="shared" si="8"/>
        <v>0.41803625999999994</v>
      </c>
      <c r="N105" s="4">
        <f>$M$6/M105</f>
        <v>3.6652799687759146</v>
      </c>
      <c r="O105" s="5">
        <f t="shared" si="12"/>
        <v>30.54399973979929</v>
      </c>
    </row>
    <row r="106" spans="1:15" x14ac:dyDescent="0.25">
      <c r="A106">
        <v>12</v>
      </c>
      <c r="B106" t="s">
        <v>16</v>
      </c>
      <c r="C106">
        <v>0.87929820000000003</v>
      </c>
      <c r="D106">
        <v>0.86268259999999997</v>
      </c>
      <c r="E106">
        <v>0.7592913</v>
      </c>
      <c r="F106">
        <v>0.86058089999999998</v>
      </c>
      <c r="G106">
        <v>0.78531150000000005</v>
      </c>
      <c r="H106">
        <v>0.78557679999999996</v>
      </c>
      <c r="I106">
        <v>0.79932769999999997</v>
      </c>
      <c r="J106">
        <v>0.79181400000000002</v>
      </c>
      <c r="K106">
        <v>0.80827789999999999</v>
      </c>
      <c r="L106" s="1">
        <v>0.77454129999999999</v>
      </c>
      <c r="M106" s="3">
        <f t="shared" si="8"/>
        <v>0.81067021999999989</v>
      </c>
      <c r="N106" s="4">
        <f>$M$7/M106</f>
        <v>4.2088924766472866</v>
      </c>
      <c r="O106" s="5">
        <f t="shared" si="12"/>
        <v>35.074103972060719</v>
      </c>
    </row>
    <row r="107" spans="1:15" x14ac:dyDescent="0.25">
      <c r="A107">
        <v>12</v>
      </c>
      <c r="B107" t="s">
        <v>17</v>
      </c>
      <c r="C107">
        <v>1.3018574000000001</v>
      </c>
      <c r="D107">
        <v>1.3112191</v>
      </c>
      <c r="E107">
        <v>1.3260133999999999</v>
      </c>
      <c r="F107">
        <v>1.2997472000000001</v>
      </c>
      <c r="G107">
        <v>1.3154062</v>
      </c>
      <c r="H107">
        <v>1.3015540000000001</v>
      </c>
      <c r="I107">
        <v>1.4356818</v>
      </c>
      <c r="J107">
        <v>1.2895430999999999</v>
      </c>
      <c r="K107">
        <v>1.2985336999999999</v>
      </c>
      <c r="L107" s="1">
        <v>1.3061864000000001</v>
      </c>
      <c r="M107" s="3">
        <f t="shared" si="8"/>
        <v>1.3185742299999998</v>
      </c>
      <c r="N107" s="4">
        <f>$M$8/M107</f>
        <v>4.6554093204142175</v>
      </c>
      <c r="O107" s="5">
        <f t="shared" si="12"/>
        <v>38.795077670118481</v>
      </c>
    </row>
    <row r="108" spans="1:15" x14ac:dyDescent="0.25">
      <c r="A108">
        <v>12</v>
      </c>
      <c r="B108" t="s">
        <v>18</v>
      </c>
      <c r="C108">
        <v>2.8459563999999999</v>
      </c>
      <c r="D108">
        <v>2.9272933999999999</v>
      </c>
      <c r="E108">
        <v>2.9705099000000001</v>
      </c>
      <c r="F108">
        <v>3.0123245999999999</v>
      </c>
      <c r="G108">
        <v>2.9566086999999999</v>
      </c>
      <c r="H108">
        <v>2.9504480000000002</v>
      </c>
      <c r="I108">
        <v>2.9328352999999998</v>
      </c>
      <c r="J108">
        <v>2.9371201</v>
      </c>
      <c r="K108">
        <v>2.943174</v>
      </c>
      <c r="L108" s="1">
        <v>2.9473921999999999</v>
      </c>
      <c r="M108" s="3">
        <f t="shared" si="8"/>
        <v>2.94236626</v>
      </c>
      <c r="N108" s="4">
        <f>$M$9/M108</f>
        <v>4.6820437099492844</v>
      </c>
      <c r="O108" s="5">
        <f t="shared" si="12"/>
        <v>39.017030916244039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Kloppers</dc:creator>
  <cp:lastModifiedBy>Joab Kloppers</cp:lastModifiedBy>
  <dcterms:created xsi:type="dcterms:W3CDTF">2026-03-09T17:06:36Z</dcterms:created>
  <dcterms:modified xsi:type="dcterms:W3CDTF">2026-03-09T17:24:17Z</dcterms:modified>
</cp:coreProperties>
</file>