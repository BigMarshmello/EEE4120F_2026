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 Workj\HPES_Prac\EEE4120F_2026\Practical 2\Results_PC\"/>
    </mc:Choice>
  </mc:AlternateContent>
  <xr:revisionPtr revIDLastSave="0" documentId="13_ncr:1_{A8FD3B8C-AF5F-4AC6-810F-F50F1C2AF780}" xr6:coauthVersionLast="47" xr6:coauthVersionMax="47" xr10:uidLastSave="{00000000-0000-0000-0000-000000000000}"/>
  <bookViews>
    <workbookView xWindow="-120" yWindow="-120" windowWidth="29040" windowHeight="15720" xr2:uid="{F26F3746-68D9-461D-99C1-250D36E94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2" i="1" l="1"/>
  <c r="N72" i="1" s="1"/>
  <c r="O72" i="1" s="1"/>
  <c r="M71" i="1"/>
  <c r="N71" i="1" s="1"/>
  <c r="O71" i="1" s="1"/>
  <c r="M70" i="1"/>
  <c r="N70" i="1" s="1"/>
  <c r="O70" i="1" s="1"/>
  <c r="N69" i="1"/>
  <c r="O69" i="1" s="1"/>
  <c r="M69" i="1"/>
  <c r="N68" i="1"/>
  <c r="O68" i="1" s="1"/>
  <c r="M68" i="1"/>
  <c r="M67" i="1"/>
  <c r="N67" i="1" s="1"/>
  <c r="O67" i="1" s="1"/>
  <c r="M66" i="1"/>
  <c r="N66" i="1" s="1"/>
  <c r="O66" i="1" s="1"/>
  <c r="M65" i="1"/>
  <c r="N65" i="1" s="1"/>
  <c r="O65" i="1" s="1"/>
  <c r="O63" i="1"/>
  <c r="O62" i="1"/>
  <c r="O61" i="1"/>
  <c r="O60" i="1"/>
  <c r="O59" i="1"/>
  <c r="O58" i="1"/>
  <c r="O57" i="1"/>
  <c r="O56" i="1"/>
  <c r="O54" i="1"/>
  <c r="O53" i="1"/>
  <c r="O52" i="1"/>
  <c r="O51" i="1"/>
  <c r="O50" i="1"/>
  <c r="O49" i="1"/>
  <c r="O48" i="1"/>
  <c r="O47" i="1"/>
  <c r="O45" i="1"/>
  <c r="O44" i="1"/>
  <c r="O43" i="1"/>
  <c r="O42" i="1"/>
  <c r="O41" i="1"/>
  <c r="O40" i="1"/>
  <c r="O39" i="1"/>
  <c r="O38" i="1"/>
  <c r="O36" i="1"/>
  <c r="O35" i="1"/>
  <c r="O34" i="1"/>
  <c r="O33" i="1"/>
  <c r="O32" i="1"/>
  <c r="O31" i="1"/>
  <c r="O30" i="1"/>
  <c r="O29" i="1"/>
  <c r="O27" i="1"/>
  <c r="O26" i="1"/>
  <c r="O25" i="1"/>
  <c r="O24" i="1"/>
  <c r="O23" i="1"/>
  <c r="O22" i="1"/>
  <c r="O21" i="1"/>
  <c r="O20" i="1"/>
  <c r="O12" i="1"/>
  <c r="O13" i="1"/>
  <c r="O14" i="1"/>
  <c r="O15" i="1"/>
  <c r="O16" i="1"/>
  <c r="O17" i="1"/>
  <c r="O18" i="1"/>
  <c r="O11" i="1"/>
  <c r="N58" i="1"/>
  <c r="N57" i="1"/>
  <c r="N52" i="1"/>
  <c r="N51" i="1"/>
  <c r="N43" i="1"/>
  <c r="N39" i="1"/>
  <c r="N38" i="1"/>
  <c r="N32" i="1"/>
  <c r="N31" i="1"/>
  <c r="N30" i="1"/>
  <c r="N25" i="1"/>
  <c r="N24" i="1"/>
  <c r="N16" i="1"/>
  <c r="N12" i="1"/>
  <c r="N11" i="1"/>
  <c r="M3" i="1"/>
  <c r="N48" i="1" s="1"/>
  <c r="M4" i="1"/>
  <c r="N49" i="1" s="1"/>
  <c r="M5" i="1"/>
  <c r="N50" i="1" s="1"/>
  <c r="M6" i="1"/>
  <c r="N60" i="1" s="1"/>
  <c r="M7" i="1"/>
  <c r="N61" i="1" s="1"/>
  <c r="M8" i="1"/>
  <c r="N62" i="1" s="1"/>
  <c r="M9" i="1"/>
  <c r="N63" i="1" s="1"/>
  <c r="M11" i="1"/>
  <c r="M12" i="1"/>
  <c r="M13" i="1"/>
  <c r="N13" i="1" s="1"/>
  <c r="M14" i="1"/>
  <c r="N14" i="1" s="1"/>
  <c r="M15" i="1"/>
  <c r="N15" i="1" s="1"/>
  <c r="M16" i="1"/>
  <c r="M17" i="1"/>
  <c r="M18" i="1"/>
  <c r="M20" i="1"/>
  <c r="M21" i="1"/>
  <c r="M22" i="1"/>
  <c r="M23" i="1"/>
  <c r="M24" i="1"/>
  <c r="M25" i="1"/>
  <c r="M26" i="1"/>
  <c r="N26" i="1" s="1"/>
  <c r="M27" i="1"/>
  <c r="N27" i="1" s="1"/>
  <c r="M29" i="1"/>
  <c r="M30" i="1"/>
  <c r="M31" i="1"/>
  <c r="M32" i="1"/>
  <c r="M33" i="1"/>
  <c r="M34" i="1"/>
  <c r="M35" i="1"/>
  <c r="M36" i="1"/>
  <c r="M38" i="1"/>
  <c r="M39" i="1"/>
  <c r="M40" i="1"/>
  <c r="N40" i="1" s="1"/>
  <c r="M41" i="1"/>
  <c r="N41" i="1" s="1"/>
  <c r="M42" i="1"/>
  <c r="N42" i="1" s="1"/>
  <c r="M43" i="1"/>
  <c r="M44" i="1"/>
  <c r="M45" i="1"/>
  <c r="M47" i="1"/>
  <c r="M48" i="1"/>
  <c r="M49" i="1"/>
  <c r="M50" i="1"/>
  <c r="M51" i="1"/>
  <c r="M52" i="1"/>
  <c r="M53" i="1"/>
  <c r="N53" i="1" s="1"/>
  <c r="M54" i="1"/>
  <c r="N54" i="1" s="1"/>
  <c r="M56" i="1"/>
  <c r="N56" i="1" s="1"/>
  <c r="M57" i="1"/>
  <c r="M58" i="1"/>
  <c r="M59" i="1"/>
  <c r="N59" i="1" s="1"/>
  <c r="M60" i="1"/>
  <c r="M61" i="1"/>
  <c r="M62" i="1"/>
  <c r="M63" i="1"/>
  <c r="M2" i="1"/>
  <c r="N29" i="1" s="1"/>
  <c r="N45" i="1" l="1"/>
  <c r="N44" i="1"/>
  <c r="N18" i="1"/>
  <c r="N20" i="1"/>
  <c r="N33" i="1"/>
  <c r="N47" i="1"/>
  <c r="N21" i="1"/>
  <c r="N34" i="1"/>
  <c r="N17" i="1"/>
  <c r="N22" i="1"/>
  <c r="N35" i="1"/>
  <c r="N23" i="1"/>
  <c r="N36" i="1"/>
</calcChain>
</file>

<file path=xl/sharedStrings.xml><?xml version="1.0" encoding="utf-8"?>
<sst xmlns="http://schemas.openxmlformats.org/spreadsheetml/2006/main" count="83" uniqueCount="27">
  <si>
    <t>ImageSize</t>
  </si>
  <si>
    <t>Iter_1</t>
  </si>
  <si>
    <t>Iter_2</t>
  </si>
  <si>
    <t>Iter_3</t>
  </si>
  <si>
    <t>Iter_4</t>
  </si>
  <si>
    <t>Iter_5</t>
  </si>
  <si>
    <t>Iter_6</t>
  </si>
  <si>
    <t>Iter_7</t>
  </si>
  <si>
    <t>Iter_8</t>
  </si>
  <si>
    <t>Iter_9</t>
  </si>
  <si>
    <t>Iter_10</t>
  </si>
  <si>
    <t>800x600_SVGA</t>
  </si>
  <si>
    <t>1280x720_HD</t>
  </si>
  <si>
    <t>1920x1080_Full_HD</t>
  </si>
  <si>
    <t>2048x1080_2K</t>
  </si>
  <si>
    <t>2560x1440_QHD</t>
  </si>
  <si>
    <t>3840x2160_4K</t>
  </si>
  <si>
    <t>5120x2880_5K</t>
  </si>
  <si>
    <t>7680x4320_8K</t>
  </si>
  <si>
    <t>Cores</t>
  </si>
  <si>
    <t>GPU</t>
  </si>
  <si>
    <t>Average</t>
  </si>
  <si>
    <t>Speedup</t>
  </si>
  <si>
    <t>Efficiency</t>
  </si>
  <si>
    <t>10 Steaming Multi-Processors</t>
  </si>
  <si>
    <t>Each SM has 128 Cuda Cores</t>
  </si>
  <si>
    <t>GPU with CUDA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</si>
</sst>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82F6-7C5E-459F-BFD7-039F90892846}">
  <dimension ref="A1:O72"/>
  <sheetViews>
    <sheetView tabSelected="1" topLeftCell="A31" workbookViewId="0">
      <selection activeCell="P48" sqref="P48"/>
    </sheetView>
  </sheetViews>
  <sheetFormatPr defaultRowHeight="15" x14ac:dyDescent="0.25"/>
  <cols>
    <col min="2" max="2" width="17.7109375" bestFit="1" customWidth="1"/>
    <col min="3" max="9" width="11" bestFit="1" customWidth="1"/>
    <col min="10" max="10" width="10" bestFit="1" customWidth="1"/>
    <col min="11" max="11" width="11" bestFit="1" customWidth="1"/>
    <col min="12" max="12" width="11" style="1" bestFit="1" customWidth="1"/>
    <col min="13" max="13" width="12" style="2" bestFit="1" customWidth="1"/>
    <col min="14" max="14" width="9.140625" style="3"/>
    <col min="15" max="15" width="9.140625" style="4"/>
  </cols>
  <sheetData>
    <row r="1" spans="1:15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s="2" t="s">
        <v>21</v>
      </c>
      <c r="N1" s="3" t="s">
        <v>22</v>
      </c>
      <c r="O1" s="4" t="s">
        <v>23</v>
      </c>
    </row>
    <row r="2" spans="1:15" x14ac:dyDescent="0.25">
      <c r="A2">
        <v>1</v>
      </c>
      <c r="B2" t="s">
        <v>11</v>
      </c>
      <c r="C2">
        <v>0.2355621</v>
      </c>
      <c r="D2">
        <v>0.20000490000000001</v>
      </c>
      <c r="E2">
        <v>0.20146430000000001</v>
      </c>
      <c r="F2">
        <v>0.20387469999999999</v>
      </c>
      <c r="G2">
        <v>0.2022794</v>
      </c>
      <c r="H2">
        <v>0.20187140000000001</v>
      </c>
      <c r="I2">
        <v>0.20102229999999999</v>
      </c>
      <c r="J2">
        <v>0.20053180000000001</v>
      </c>
      <c r="K2">
        <v>0.20064319999999999</v>
      </c>
      <c r="L2" s="1">
        <v>0.201233</v>
      </c>
      <c r="M2" s="2">
        <f>AVERAGE(C2:L2)</f>
        <v>0.20484870999999999</v>
      </c>
    </row>
    <row r="3" spans="1:15" x14ac:dyDescent="0.25">
      <c r="A3">
        <v>1</v>
      </c>
      <c r="B3" t="s">
        <v>12</v>
      </c>
      <c r="C3">
        <v>0.40975830000000002</v>
      </c>
      <c r="D3">
        <v>0.38729429999999998</v>
      </c>
      <c r="E3">
        <v>0.3875692</v>
      </c>
      <c r="F3">
        <v>0.38498290000000002</v>
      </c>
      <c r="G3">
        <v>0.38507560000000002</v>
      </c>
      <c r="H3">
        <v>0.38641940000000002</v>
      </c>
      <c r="I3">
        <v>0.38324999999999998</v>
      </c>
      <c r="J3">
        <v>0.37758209999999998</v>
      </c>
      <c r="K3">
        <v>0.3737045</v>
      </c>
      <c r="L3" s="1">
        <v>0.37715789999999999</v>
      </c>
      <c r="M3" s="2">
        <f t="shared" ref="M3:M63" si="0">AVERAGE(C3:L3)</f>
        <v>0.38527941999999998</v>
      </c>
    </row>
    <row r="4" spans="1:15" x14ac:dyDescent="0.25">
      <c r="A4">
        <v>1</v>
      </c>
      <c r="B4" t="s">
        <v>13</v>
      </c>
      <c r="C4">
        <v>0.87442889999999995</v>
      </c>
      <c r="D4">
        <v>0.84929719999999997</v>
      </c>
      <c r="E4">
        <v>0.87390009999999996</v>
      </c>
      <c r="F4">
        <v>0.86913989999999997</v>
      </c>
      <c r="G4">
        <v>0.86597089999999999</v>
      </c>
      <c r="H4">
        <v>0.85365599999999997</v>
      </c>
      <c r="I4">
        <v>0.8835672</v>
      </c>
      <c r="J4">
        <v>0.92349959999999998</v>
      </c>
      <c r="K4">
        <v>0.8561048</v>
      </c>
      <c r="L4" s="1">
        <v>0.87341120000000005</v>
      </c>
      <c r="M4" s="2">
        <f t="shared" si="0"/>
        <v>0.87229758000000002</v>
      </c>
    </row>
    <row r="5" spans="1:15" x14ac:dyDescent="0.25">
      <c r="A5">
        <v>1</v>
      </c>
      <c r="B5" t="s">
        <v>14</v>
      </c>
      <c r="C5">
        <v>0.90934289999999995</v>
      </c>
      <c r="D5">
        <v>0.90942040000000002</v>
      </c>
      <c r="E5">
        <v>0.90801410000000005</v>
      </c>
      <c r="F5">
        <v>0.91522490000000001</v>
      </c>
      <c r="G5">
        <v>0.92683850000000001</v>
      </c>
      <c r="H5">
        <v>0.93190819999999996</v>
      </c>
      <c r="I5">
        <v>0.92763059999999997</v>
      </c>
      <c r="J5">
        <v>0.9296643</v>
      </c>
      <c r="K5">
        <v>0.9208558</v>
      </c>
      <c r="L5" s="1">
        <v>0.92837879999999995</v>
      </c>
      <c r="M5" s="2">
        <f t="shared" si="0"/>
        <v>0.92072785000000013</v>
      </c>
    </row>
    <row r="6" spans="1:15" x14ac:dyDescent="0.25">
      <c r="A6">
        <v>1</v>
      </c>
      <c r="B6" t="s">
        <v>15</v>
      </c>
      <c r="C6">
        <v>1.5463560000000001</v>
      </c>
      <c r="D6">
        <v>1.5192524999999999</v>
      </c>
      <c r="E6">
        <v>1.5323396</v>
      </c>
      <c r="F6">
        <v>1.5157799999999999</v>
      </c>
      <c r="G6">
        <v>1.5415954000000001</v>
      </c>
      <c r="H6">
        <v>1.5347725999999999</v>
      </c>
      <c r="I6">
        <v>1.5465641999999999</v>
      </c>
      <c r="J6">
        <v>1.5487527000000001</v>
      </c>
      <c r="K6">
        <v>1.5480468000000001</v>
      </c>
      <c r="L6" s="1">
        <v>1.5530634999999999</v>
      </c>
      <c r="M6" s="2">
        <f t="shared" si="0"/>
        <v>1.5386523300000001</v>
      </c>
    </row>
    <row r="7" spans="1:15" x14ac:dyDescent="0.25">
      <c r="A7">
        <v>1</v>
      </c>
      <c r="B7" t="s">
        <v>16</v>
      </c>
      <c r="C7">
        <v>3.5105732999999999</v>
      </c>
      <c r="D7">
        <v>3.4817729000000002</v>
      </c>
      <c r="E7">
        <v>3.4398064000000002</v>
      </c>
      <c r="F7">
        <v>3.4663925999999998</v>
      </c>
      <c r="G7">
        <v>3.4991191000000001</v>
      </c>
      <c r="H7">
        <v>3.4636757999999999</v>
      </c>
      <c r="I7">
        <v>3.4401853999999998</v>
      </c>
      <c r="J7">
        <v>3.4683153999999998</v>
      </c>
      <c r="K7">
        <v>3.478189</v>
      </c>
      <c r="L7" s="1">
        <v>3.4594160999999999</v>
      </c>
      <c r="M7" s="2">
        <f t="shared" si="0"/>
        <v>3.4707446000000006</v>
      </c>
    </row>
    <row r="8" spans="1:15" x14ac:dyDescent="0.25">
      <c r="A8">
        <v>1</v>
      </c>
      <c r="B8" t="s">
        <v>17</v>
      </c>
      <c r="C8">
        <v>6.2011637999999998</v>
      </c>
      <c r="D8">
        <v>6.1515643000000004</v>
      </c>
      <c r="E8">
        <v>6.1347424999999998</v>
      </c>
      <c r="F8">
        <v>6.1181687</v>
      </c>
      <c r="G8">
        <v>6.0606793999999997</v>
      </c>
      <c r="H8">
        <v>6.1225303000000002</v>
      </c>
      <c r="I8">
        <v>6.0950680999999998</v>
      </c>
      <c r="J8">
        <v>6.1669600000000004</v>
      </c>
      <c r="K8">
        <v>6.1280754000000002</v>
      </c>
      <c r="L8" s="1">
        <v>6.1652031000000003</v>
      </c>
      <c r="M8" s="2">
        <f t="shared" si="0"/>
        <v>6.1344155599999999</v>
      </c>
    </row>
    <row r="9" spans="1:15" x14ac:dyDescent="0.25">
      <c r="A9">
        <v>1</v>
      </c>
      <c r="B9" t="s">
        <v>18</v>
      </c>
      <c r="C9">
        <v>13.819699200000001</v>
      </c>
      <c r="D9">
        <v>13.902599199999999</v>
      </c>
      <c r="E9">
        <v>13.9100474</v>
      </c>
      <c r="F9">
        <v>13.7764579</v>
      </c>
      <c r="G9">
        <v>13.839637700000001</v>
      </c>
      <c r="H9">
        <v>13.866995899999999</v>
      </c>
      <c r="I9">
        <v>13.8782794</v>
      </c>
      <c r="J9">
        <v>13.923767</v>
      </c>
      <c r="K9">
        <v>13.8145688</v>
      </c>
      <c r="L9" s="1">
        <v>13.774625500000001</v>
      </c>
      <c r="M9" s="2">
        <f t="shared" si="0"/>
        <v>13.8506678</v>
      </c>
    </row>
    <row r="11" spans="1:15" x14ac:dyDescent="0.25">
      <c r="A11">
        <v>2</v>
      </c>
      <c r="B11" t="s">
        <v>11</v>
      </c>
      <c r="C11">
        <v>0.52624289999999996</v>
      </c>
      <c r="D11">
        <v>0.1839788</v>
      </c>
      <c r="E11">
        <v>0.1511565</v>
      </c>
      <c r="F11">
        <v>0.15205859999999999</v>
      </c>
      <c r="G11">
        <v>0.1945421</v>
      </c>
      <c r="H11">
        <v>0.1579518</v>
      </c>
      <c r="I11">
        <v>0.15744639999999999</v>
      </c>
      <c r="J11">
        <v>0.1410525</v>
      </c>
      <c r="K11">
        <v>0.13889460000000001</v>
      </c>
      <c r="L11" s="1">
        <v>0.1393828</v>
      </c>
      <c r="M11" s="2">
        <f t="shared" si="0"/>
        <v>0.19427069999999999</v>
      </c>
      <c r="N11" s="3">
        <f>$M$2/M11</f>
        <v>1.0544498475580724</v>
      </c>
      <c r="O11" s="4">
        <f>(N11/A11)*100</f>
        <v>52.72249237790362</v>
      </c>
    </row>
    <row r="12" spans="1:15" x14ac:dyDescent="0.25">
      <c r="A12">
        <v>2</v>
      </c>
      <c r="B12" t="s">
        <v>12</v>
      </c>
      <c r="C12">
        <v>0.30462030000000001</v>
      </c>
      <c r="D12">
        <v>0.30298770000000003</v>
      </c>
      <c r="E12">
        <v>0.30220019999999997</v>
      </c>
      <c r="F12">
        <v>0.3023248</v>
      </c>
      <c r="G12">
        <v>0.26324510000000001</v>
      </c>
      <c r="H12">
        <v>0.3035699</v>
      </c>
      <c r="I12">
        <v>0.30481409999999998</v>
      </c>
      <c r="J12">
        <v>0.30124830000000002</v>
      </c>
      <c r="K12">
        <v>0.30234650000000002</v>
      </c>
      <c r="L12" s="1">
        <v>0.3065138</v>
      </c>
      <c r="M12" s="2">
        <f t="shared" si="0"/>
        <v>0.29938707000000003</v>
      </c>
      <c r="N12" s="3">
        <f>$M$3/M12</f>
        <v>1.2868939864370226</v>
      </c>
      <c r="O12" s="4">
        <f t="shared" ref="O12:O18" si="1">(N12/A12)*100</f>
        <v>64.344699321851124</v>
      </c>
    </row>
    <row r="13" spans="1:15" x14ac:dyDescent="0.25">
      <c r="A13">
        <v>2</v>
      </c>
      <c r="B13" t="s">
        <v>13</v>
      </c>
      <c r="C13">
        <v>0.59925980000000001</v>
      </c>
      <c r="D13">
        <v>0.67288700000000001</v>
      </c>
      <c r="E13">
        <v>0.68494750000000004</v>
      </c>
      <c r="F13">
        <v>0.67736770000000002</v>
      </c>
      <c r="G13">
        <v>0.68990940000000001</v>
      </c>
      <c r="H13">
        <v>0.66551179999999999</v>
      </c>
      <c r="I13">
        <v>0.61308090000000004</v>
      </c>
      <c r="J13">
        <v>0.6361907</v>
      </c>
      <c r="K13">
        <v>0.69895419999999997</v>
      </c>
      <c r="L13" s="1">
        <v>0.61689729999999998</v>
      </c>
      <c r="M13" s="2">
        <f t="shared" si="0"/>
        <v>0.65550063000000003</v>
      </c>
      <c r="N13" s="3">
        <f>$M$4/M13</f>
        <v>1.3307349224057954</v>
      </c>
      <c r="O13" s="4">
        <f t="shared" si="1"/>
        <v>66.536746120289763</v>
      </c>
    </row>
    <row r="14" spans="1:15" x14ac:dyDescent="0.25">
      <c r="A14">
        <v>2</v>
      </c>
      <c r="B14" t="s">
        <v>14</v>
      </c>
      <c r="C14">
        <v>0.72035360000000004</v>
      </c>
      <c r="D14">
        <v>0.73983920000000003</v>
      </c>
      <c r="E14">
        <v>0.73991549999999995</v>
      </c>
      <c r="F14">
        <v>0.71536699999999998</v>
      </c>
      <c r="G14">
        <v>0.72887829999999998</v>
      </c>
      <c r="H14">
        <v>0.72508969999999995</v>
      </c>
      <c r="I14">
        <v>0.73609210000000003</v>
      </c>
      <c r="J14">
        <v>0.72265690000000005</v>
      </c>
      <c r="K14">
        <v>0.72190480000000001</v>
      </c>
      <c r="L14" s="1">
        <v>0.73283039999999999</v>
      </c>
      <c r="M14" s="2">
        <f t="shared" si="0"/>
        <v>0.72829275000000016</v>
      </c>
      <c r="N14" s="3">
        <f>$M$5/M14</f>
        <v>1.2642276749287975</v>
      </c>
      <c r="O14" s="4">
        <f t="shared" si="1"/>
        <v>63.211383746439878</v>
      </c>
    </row>
    <row r="15" spans="1:15" x14ac:dyDescent="0.25">
      <c r="A15">
        <v>2</v>
      </c>
      <c r="B15" t="s">
        <v>15</v>
      </c>
      <c r="C15">
        <v>1.0684795</v>
      </c>
      <c r="D15">
        <v>1.2088177</v>
      </c>
      <c r="E15">
        <v>1.2411357999999999</v>
      </c>
      <c r="F15">
        <v>1.1887464999999999</v>
      </c>
      <c r="G15">
        <v>1.1785806000000001</v>
      </c>
      <c r="H15">
        <v>1.1830535</v>
      </c>
      <c r="I15">
        <v>1.1774439000000001</v>
      </c>
      <c r="J15">
        <v>1.2023071000000001</v>
      </c>
      <c r="K15">
        <v>1.2237237000000001</v>
      </c>
      <c r="L15" s="1">
        <v>1.1965987</v>
      </c>
      <c r="M15" s="2">
        <f t="shared" si="0"/>
        <v>1.1868887000000001</v>
      </c>
      <c r="N15" s="3">
        <f>$M$6/M15</f>
        <v>1.2963745716005215</v>
      </c>
      <c r="O15" s="4">
        <f t="shared" si="1"/>
        <v>64.818728580026075</v>
      </c>
    </row>
    <row r="16" spans="1:15" x14ac:dyDescent="0.25">
      <c r="A16">
        <v>2</v>
      </c>
      <c r="B16" t="s">
        <v>16</v>
      </c>
      <c r="C16">
        <v>2.3159671999999998</v>
      </c>
      <c r="D16">
        <v>2.2882714000000002</v>
      </c>
      <c r="E16">
        <v>2.6466649000000002</v>
      </c>
      <c r="F16">
        <v>2.6952435000000001</v>
      </c>
      <c r="G16">
        <v>2.7241013000000001</v>
      </c>
      <c r="H16">
        <v>2.4092642999999998</v>
      </c>
      <c r="I16">
        <v>2.4114344999999999</v>
      </c>
      <c r="J16">
        <v>2.3362109000000002</v>
      </c>
      <c r="K16">
        <v>2.7922829</v>
      </c>
      <c r="L16" s="1">
        <v>2.3467728999999999</v>
      </c>
      <c r="M16" s="2">
        <f t="shared" si="0"/>
        <v>2.4966213800000001</v>
      </c>
      <c r="N16" s="3">
        <f>$M$7/M16</f>
        <v>1.3901765913740596</v>
      </c>
      <c r="O16" s="4">
        <f t="shared" si="1"/>
        <v>69.508829568702978</v>
      </c>
    </row>
    <row r="17" spans="1:15" x14ac:dyDescent="0.25">
      <c r="A17">
        <v>2</v>
      </c>
      <c r="B17" t="s">
        <v>17</v>
      </c>
      <c r="C17">
        <v>4.1133948</v>
      </c>
      <c r="D17">
        <v>4.1143532</v>
      </c>
      <c r="E17">
        <v>4.0390182000000001</v>
      </c>
      <c r="F17">
        <v>4.9439618999999997</v>
      </c>
      <c r="G17">
        <v>4.0937555000000003</v>
      </c>
      <c r="H17">
        <v>4.1477630000000003</v>
      </c>
      <c r="I17">
        <v>4.9120187</v>
      </c>
      <c r="J17">
        <v>4.7852775000000003</v>
      </c>
      <c r="K17">
        <v>4.7556808000000004</v>
      </c>
      <c r="L17" s="1">
        <v>4.0501034999999996</v>
      </c>
      <c r="M17" s="2">
        <f t="shared" si="0"/>
        <v>4.3955327099999995</v>
      </c>
      <c r="N17" s="3">
        <f>$M$8/M17</f>
        <v>1.3956023000452205</v>
      </c>
      <c r="O17" s="4">
        <f t="shared" si="1"/>
        <v>69.780115002261027</v>
      </c>
    </row>
    <row r="18" spans="1:15" x14ac:dyDescent="0.25">
      <c r="A18">
        <v>2</v>
      </c>
      <c r="B18" t="s">
        <v>18</v>
      </c>
      <c r="C18">
        <v>9.1187441000000007</v>
      </c>
      <c r="D18">
        <v>9.2161989999999996</v>
      </c>
      <c r="E18">
        <v>9.2080848999999994</v>
      </c>
      <c r="F18">
        <v>9.1331482000000008</v>
      </c>
      <c r="G18">
        <v>9.2093836000000007</v>
      </c>
      <c r="H18">
        <v>9.1873459999999998</v>
      </c>
      <c r="I18">
        <v>9.1283311000000005</v>
      </c>
      <c r="J18">
        <v>9.1723072000000005</v>
      </c>
      <c r="K18">
        <v>9.0977780999999993</v>
      </c>
      <c r="L18" s="1">
        <v>9.4083810999999997</v>
      </c>
      <c r="M18" s="2">
        <f t="shared" si="0"/>
        <v>9.1879703300000006</v>
      </c>
      <c r="N18" s="3">
        <f>$M$9/M18</f>
        <v>1.5074785074975312</v>
      </c>
      <c r="O18" s="4">
        <f t="shared" si="1"/>
        <v>75.373925374876563</v>
      </c>
    </row>
    <row r="20" spans="1:15" x14ac:dyDescent="0.25">
      <c r="A20">
        <v>3</v>
      </c>
      <c r="B20" t="s">
        <v>11</v>
      </c>
      <c r="C20">
        <v>0.1825861</v>
      </c>
      <c r="D20">
        <v>0.125694</v>
      </c>
      <c r="E20">
        <v>0.10708760000000001</v>
      </c>
      <c r="F20">
        <v>0.1038524</v>
      </c>
      <c r="G20">
        <v>0.1096747</v>
      </c>
      <c r="H20">
        <v>0.1210947</v>
      </c>
      <c r="I20">
        <v>0.10517899999999999</v>
      </c>
      <c r="J20">
        <v>0.12284920000000001</v>
      </c>
      <c r="K20">
        <v>0.1022116</v>
      </c>
      <c r="L20" s="1">
        <v>0.1057213</v>
      </c>
      <c r="M20" s="2">
        <f t="shared" si="0"/>
        <v>0.11859506</v>
      </c>
      <c r="N20" s="3">
        <f>$M$2/M20</f>
        <v>1.7272954708231523</v>
      </c>
      <c r="O20" s="4">
        <f>(N20/A20)*100</f>
        <v>57.576515694105076</v>
      </c>
    </row>
    <row r="21" spans="1:15" x14ac:dyDescent="0.25">
      <c r="A21">
        <v>3</v>
      </c>
      <c r="B21" t="s">
        <v>12</v>
      </c>
      <c r="C21">
        <v>0.20849519999999999</v>
      </c>
      <c r="D21">
        <v>0.20742389999999999</v>
      </c>
      <c r="E21">
        <v>0.19761139999999999</v>
      </c>
      <c r="F21">
        <v>0.1954168</v>
      </c>
      <c r="G21">
        <v>0.2198311</v>
      </c>
      <c r="H21">
        <v>0.2110129</v>
      </c>
      <c r="I21">
        <v>0.20763110000000001</v>
      </c>
      <c r="J21">
        <v>0.20948820000000001</v>
      </c>
      <c r="K21">
        <v>0.1988933</v>
      </c>
      <c r="L21" s="1">
        <v>0.20994289999999999</v>
      </c>
      <c r="M21" s="2">
        <f t="shared" si="0"/>
        <v>0.20657467999999998</v>
      </c>
      <c r="N21" s="3">
        <f>$M$3/M21</f>
        <v>1.8650854015603462</v>
      </c>
      <c r="O21" s="4">
        <f t="shared" ref="O21:O27" si="2">(N21/A21)*100</f>
        <v>62.169513385344878</v>
      </c>
    </row>
    <row r="22" spans="1:15" x14ac:dyDescent="0.25">
      <c r="A22">
        <v>3</v>
      </c>
      <c r="B22" t="s">
        <v>13</v>
      </c>
      <c r="C22">
        <v>0.43335950000000001</v>
      </c>
      <c r="D22">
        <v>0.45555420000000002</v>
      </c>
      <c r="E22">
        <v>0.45440920000000001</v>
      </c>
      <c r="F22">
        <v>0.4223809</v>
      </c>
      <c r="G22">
        <v>0.4379826</v>
      </c>
      <c r="H22">
        <v>0.43183470000000002</v>
      </c>
      <c r="I22">
        <v>0.45104129999999998</v>
      </c>
      <c r="J22">
        <v>0.46094239999999997</v>
      </c>
      <c r="K22">
        <v>0.4307088</v>
      </c>
      <c r="L22" s="1">
        <v>0.4571365</v>
      </c>
      <c r="M22" s="2">
        <f t="shared" si="0"/>
        <v>0.44353501000000001</v>
      </c>
      <c r="N22" s="3">
        <f>$M$4/M22</f>
        <v>1.9666938580564362</v>
      </c>
      <c r="O22" s="4">
        <f t="shared" si="2"/>
        <v>65.556461935214543</v>
      </c>
    </row>
    <row r="23" spans="1:15" x14ac:dyDescent="0.25">
      <c r="A23">
        <v>3</v>
      </c>
      <c r="B23" t="s">
        <v>14</v>
      </c>
      <c r="C23">
        <v>0.47341719999999998</v>
      </c>
      <c r="D23">
        <v>0.46350809999999998</v>
      </c>
      <c r="E23">
        <v>0.4898035</v>
      </c>
      <c r="F23">
        <v>0.50483069999999997</v>
      </c>
      <c r="G23">
        <v>0.47894560000000003</v>
      </c>
      <c r="H23">
        <v>0.49197639999999998</v>
      </c>
      <c r="I23">
        <v>0.53035739999999998</v>
      </c>
      <c r="J23">
        <v>0.48118929999999999</v>
      </c>
      <c r="K23">
        <v>0.49304910000000002</v>
      </c>
      <c r="L23" s="1">
        <v>0.46973959999999998</v>
      </c>
      <c r="M23" s="2">
        <f t="shared" si="0"/>
        <v>0.48768168999999995</v>
      </c>
      <c r="N23" s="3">
        <f>$M$5/M23</f>
        <v>1.8879688716629903</v>
      </c>
      <c r="O23" s="4">
        <f t="shared" si="2"/>
        <v>62.932295722099674</v>
      </c>
    </row>
    <row r="24" spans="1:15" x14ac:dyDescent="0.25">
      <c r="A24">
        <v>3</v>
      </c>
      <c r="B24" t="s">
        <v>15</v>
      </c>
      <c r="C24">
        <v>0.80247349999999995</v>
      </c>
      <c r="D24">
        <v>0.79318259999999996</v>
      </c>
      <c r="E24">
        <v>0.75048919999999997</v>
      </c>
      <c r="F24">
        <v>0.77595959999999997</v>
      </c>
      <c r="G24">
        <v>0.73463100000000003</v>
      </c>
      <c r="H24">
        <v>0.7649475</v>
      </c>
      <c r="I24">
        <v>0.72730980000000001</v>
      </c>
      <c r="J24">
        <v>0.77554409999999996</v>
      </c>
      <c r="K24">
        <v>0.73728360000000004</v>
      </c>
      <c r="L24" s="1">
        <v>0.81488020000000005</v>
      </c>
      <c r="M24" s="2">
        <f t="shared" si="0"/>
        <v>0.76767011000000018</v>
      </c>
      <c r="N24" s="3">
        <f>$M$6/M24</f>
        <v>2.0043144964964181</v>
      </c>
      <c r="O24" s="4">
        <f t="shared" si="2"/>
        <v>66.810483216547269</v>
      </c>
    </row>
    <row r="25" spans="1:15" x14ac:dyDescent="0.25">
      <c r="A25">
        <v>3</v>
      </c>
      <c r="B25" t="s">
        <v>16</v>
      </c>
      <c r="C25">
        <v>1.7439396</v>
      </c>
      <c r="D25">
        <v>1.7991098000000001</v>
      </c>
      <c r="E25">
        <v>1.6407187000000001</v>
      </c>
      <c r="F25">
        <v>1.7389201000000001</v>
      </c>
      <c r="G25">
        <v>1.6225712999999999</v>
      </c>
      <c r="H25">
        <v>1.7161523000000001</v>
      </c>
      <c r="I25">
        <v>1.6288738</v>
      </c>
      <c r="J25">
        <v>1.6440752000000001</v>
      </c>
      <c r="K25">
        <v>1.6133328</v>
      </c>
      <c r="L25" s="1">
        <v>1.6726852999999999</v>
      </c>
      <c r="M25" s="2">
        <f t="shared" si="0"/>
        <v>1.6820378900000001</v>
      </c>
      <c r="N25" s="3">
        <f>$M$7/M25</f>
        <v>2.0634164192341711</v>
      </c>
      <c r="O25" s="4">
        <f t="shared" si="2"/>
        <v>68.780547307805705</v>
      </c>
    </row>
    <row r="26" spans="1:15" x14ac:dyDescent="0.25">
      <c r="A26">
        <v>3</v>
      </c>
      <c r="B26" t="s">
        <v>17</v>
      </c>
      <c r="C26">
        <v>2.9019916000000001</v>
      </c>
      <c r="D26">
        <v>2.9572938</v>
      </c>
      <c r="E26">
        <v>2.9880884999999999</v>
      </c>
      <c r="F26">
        <v>3.0121004</v>
      </c>
      <c r="G26">
        <v>2.9006261000000002</v>
      </c>
      <c r="H26">
        <v>2.9090862999999998</v>
      </c>
      <c r="I26">
        <v>3.1042906000000001</v>
      </c>
      <c r="J26">
        <v>3.00054</v>
      </c>
      <c r="K26">
        <v>3.1851183999999999</v>
      </c>
      <c r="L26" s="1">
        <v>2.8967915</v>
      </c>
      <c r="M26" s="2">
        <f t="shared" si="0"/>
        <v>2.9855927200000001</v>
      </c>
      <c r="N26" s="3">
        <f>$M$8/M26</f>
        <v>2.0546726011577356</v>
      </c>
      <c r="O26" s="4">
        <f t="shared" si="2"/>
        <v>68.489086705257847</v>
      </c>
    </row>
    <row r="27" spans="1:15" x14ac:dyDescent="0.25">
      <c r="A27">
        <v>3</v>
      </c>
      <c r="B27" t="s">
        <v>18</v>
      </c>
      <c r="C27">
        <v>6.7143917000000002</v>
      </c>
      <c r="D27">
        <v>6.6921229000000002</v>
      </c>
      <c r="E27">
        <v>6.4802360999999999</v>
      </c>
      <c r="F27">
        <v>6.5016584000000002</v>
      </c>
      <c r="G27">
        <v>6.6151077000000003</v>
      </c>
      <c r="H27">
        <v>6.6771663999999999</v>
      </c>
      <c r="I27">
        <v>6.5004100999999999</v>
      </c>
      <c r="J27">
        <v>6.5311510999999998</v>
      </c>
      <c r="K27">
        <v>6.6838752000000001</v>
      </c>
      <c r="L27" s="1">
        <v>6.4989827</v>
      </c>
      <c r="M27" s="2">
        <f t="shared" si="0"/>
        <v>6.5895102300000001</v>
      </c>
      <c r="N27" s="3">
        <f>$M$9/M27</f>
        <v>2.101926746686301</v>
      </c>
      <c r="O27" s="4">
        <f t="shared" si="2"/>
        <v>70.064224889543368</v>
      </c>
    </row>
    <row r="29" spans="1:15" x14ac:dyDescent="0.25">
      <c r="A29">
        <v>4</v>
      </c>
      <c r="B29" t="s">
        <v>11</v>
      </c>
      <c r="C29">
        <v>0.16260579999999999</v>
      </c>
      <c r="D29">
        <v>0.1045754</v>
      </c>
      <c r="E29">
        <v>8.5982900000000001E-2</v>
      </c>
      <c r="F29">
        <v>8.9617699999999995E-2</v>
      </c>
      <c r="G29">
        <v>9.0526899999999993E-2</v>
      </c>
      <c r="H29">
        <v>8.5677600000000007E-2</v>
      </c>
      <c r="I29">
        <v>8.4459900000000004E-2</v>
      </c>
      <c r="J29">
        <v>8.8851299999999994E-2</v>
      </c>
      <c r="K29">
        <v>8.9679999999999996E-2</v>
      </c>
      <c r="L29" s="1">
        <v>8.4132700000000005E-2</v>
      </c>
      <c r="M29" s="2">
        <f t="shared" si="0"/>
        <v>9.6611019999999992E-2</v>
      </c>
      <c r="N29" s="3">
        <f>$M$2/M29</f>
        <v>2.1203451738735395</v>
      </c>
      <c r="O29" s="4">
        <f>(N29/A29)*100</f>
        <v>53.008629346838489</v>
      </c>
    </row>
    <row r="30" spans="1:15" x14ac:dyDescent="0.25">
      <c r="A30">
        <v>4</v>
      </c>
      <c r="B30" t="s">
        <v>12</v>
      </c>
      <c r="C30">
        <v>0.15817000000000001</v>
      </c>
      <c r="D30">
        <v>0.1520434</v>
      </c>
      <c r="E30">
        <v>0.16294110000000001</v>
      </c>
      <c r="F30">
        <v>0.1527471</v>
      </c>
      <c r="G30">
        <v>0.15658159999999999</v>
      </c>
      <c r="H30">
        <v>0.13906399999999999</v>
      </c>
      <c r="I30">
        <v>0.1615383</v>
      </c>
      <c r="J30">
        <v>0.15537909999999999</v>
      </c>
      <c r="K30">
        <v>0.16064120000000001</v>
      </c>
      <c r="L30" s="1">
        <v>0.15381400000000001</v>
      </c>
      <c r="M30" s="2">
        <f t="shared" si="0"/>
        <v>0.15529197999999997</v>
      </c>
      <c r="N30" s="3">
        <f>$M$3/M30</f>
        <v>2.4810001134636837</v>
      </c>
      <c r="O30" s="4">
        <f t="shared" ref="O30:O36" si="3">(N30/A30)*100</f>
        <v>62.025002836592094</v>
      </c>
    </row>
    <row r="31" spans="1:15" x14ac:dyDescent="0.25">
      <c r="A31">
        <v>4</v>
      </c>
      <c r="B31" t="s">
        <v>13</v>
      </c>
      <c r="C31">
        <v>0.34621390000000002</v>
      </c>
      <c r="D31">
        <v>0.33778059999999999</v>
      </c>
      <c r="E31">
        <v>0.33716220000000002</v>
      </c>
      <c r="F31">
        <v>0.34012429999999999</v>
      </c>
      <c r="G31">
        <v>0.33703830000000001</v>
      </c>
      <c r="H31">
        <v>0.35805189999999998</v>
      </c>
      <c r="I31">
        <v>0.33496629999999999</v>
      </c>
      <c r="J31">
        <v>0.36286249999999998</v>
      </c>
      <c r="K31">
        <v>0.33721079999999998</v>
      </c>
      <c r="L31" s="1">
        <v>0.33443600000000001</v>
      </c>
      <c r="M31" s="2">
        <f t="shared" si="0"/>
        <v>0.34258467999999997</v>
      </c>
      <c r="N31" s="3">
        <f>$M$4/M31</f>
        <v>2.5462247173457961</v>
      </c>
      <c r="O31" s="4">
        <f t="shared" si="3"/>
        <v>63.655617933644905</v>
      </c>
    </row>
    <row r="32" spans="1:15" x14ac:dyDescent="0.25">
      <c r="A32">
        <v>4</v>
      </c>
      <c r="B32" t="s">
        <v>14</v>
      </c>
      <c r="C32">
        <v>0.36947200000000002</v>
      </c>
      <c r="D32">
        <v>0.36619849999999998</v>
      </c>
      <c r="E32">
        <v>0.35571779999999997</v>
      </c>
      <c r="F32">
        <v>0.35424729999999999</v>
      </c>
      <c r="G32">
        <v>0.35913420000000001</v>
      </c>
      <c r="H32">
        <v>0.35746420000000001</v>
      </c>
      <c r="I32">
        <v>0.35559639999999998</v>
      </c>
      <c r="J32">
        <v>0.36215370000000002</v>
      </c>
      <c r="K32">
        <v>0.35900690000000002</v>
      </c>
      <c r="L32" s="1">
        <v>0.36091869999999998</v>
      </c>
      <c r="M32" s="2">
        <f t="shared" si="0"/>
        <v>0.35999096999999997</v>
      </c>
      <c r="N32" s="3">
        <f>$M$5/M32</f>
        <v>2.5576415152857868</v>
      </c>
      <c r="O32" s="4">
        <f t="shared" si="3"/>
        <v>63.94103788214467</v>
      </c>
    </row>
    <row r="33" spans="1:15" x14ac:dyDescent="0.25">
      <c r="A33">
        <v>4</v>
      </c>
      <c r="B33" t="s">
        <v>15</v>
      </c>
      <c r="C33">
        <v>0.60258909999999999</v>
      </c>
      <c r="D33">
        <v>0.59750650000000005</v>
      </c>
      <c r="E33">
        <v>0.59544050000000004</v>
      </c>
      <c r="F33">
        <v>0.58469649999999995</v>
      </c>
      <c r="G33">
        <v>0.60039469999999995</v>
      </c>
      <c r="H33">
        <v>0.59129929999999997</v>
      </c>
      <c r="I33">
        <v>0.58637070000000002</v>
      </c>
      <c r="J33">
        <v>0.60789389999999999</v>
      </c>
      <c r="K33">
        <v>0.58930229999999995</v>
      </c>
      <c r="L33" s="1">
        <v>0.59308799999999995</v>
      </c>
      <c r="M33" s="2">
        <f t="shared" si="0"/>
        <v>0.59485814999999997</v>
      </c>
      <c r="N33" s="3">
        <f>$M$6/M33</f>
        <v>2.5865869535451438</v>
      </c>
      <c r="O33" s="4">
        <f t="shared" si="3"/>
        <v>64.664673838628602</v>
      </c>
    </row>
    <row r="34" spans="1:15" x14ac:dyDescent="0.25">
      <c r="A34">
        <v>4</v>
      </c>
      <c r="B34" t="s">
        <v>16</v>
      </c>
      <c r="C34">
        <v>1.3032950000000001</v>
      </c>
      <c r="D34">
        <v>1.2945968999999999</v>
      </c>
      <c r="E34">
        <v>1.2877179999999999</v>
      </c>
      <c r="F34">
        <v>1.3102973</v>
      </c>
      <c r="G34">
        <v>1.3165575</v>
      </c>
      <c r="H34">
        <v>1.3414279</v>
      </c>
      <c r="I34">
        <v>1.3813337000000001</v>
      </c>
      <c r="J34">
        <v>1.3052267</v>
      </c>
      <c r="K34">
        <v>1.3102769000000001</v>
      </c>
      <c r="L34" s="1">
        <v>1.318997</v>
      </c>
      <c r="M34" s="2">
        <f t="shared" si="0"/>
        <v>1.3169726900000001</v>
      </c>
      <c r="N34" s="3">
        <f>$M$7/M34</f>
        <v>2.6353960308774518</v>
      </c>
      <c r="O34" s="4">
        <f t="shared" si="3"/>
        <v>65.884900771936287</v>
      </c>
    </row>
    <row r="35" spans="1:15" x14ac:dyDescent="0.25">
      <c r="A35">
        <v>4</v>
      </c>
      <c r="B35" t="s">
        <v>17</v>
      </c>
      <c r="C35">
        <v>2.3444075</v>
      </c>
      <c r="D35">
        <v>2.3380922000000002</v>
      </c>
      <c r="E35">
        <v>2.3553367999999999</v>
      </c>
      <c r="F35">
        <v>2.3954515999999999</v>
      </c>
      <c r="G35">
        <v>2.2691835</v>
      </c>
      <c r="H35">
        <v>2.3272058000000002</v>
      </c>
      <c r="I35">
        <v>2.2937026</v>
      </c>
      <c r="J35">
        <v>2.3030360999999999</v>
      </c>
      <c r="K35">
        <v>2.4367809</v>
      </c>
      <c r="L35" s="1">
        <v>2.3571822</v>
      </c>
      <c r="M35" s="2">
        <f t="shared" si="0"/>
        <v>2.3420379200000001</v>
      </c>
      <c r="N35" s="3">
        <f>$M$8/M35</f>
        <v>2.619263978441476</v>
      </c>
      <c r="O35" s="4">
        <f t="shared" si="3"/>
        <v>65.481599461036893</v>
      </c>
    </row>
    <row r="36" spans="1:15" x14ac:dyDescent="0.25">
      <c r="A36">
        <v>4</v>
      </c>
      <c r="B36" t="s">
        <v>18</v>
      </c>
      <c r="C36">
        <v>5.2227427999999998</v>
      </c>
      <c r="D36">
        <v>5.3079976999999996</v>
      </c>
      <c r="E36">
        <v>5.2319448</v>
      </c>
      <c r="F36">
        <v>5.2274307000000002</v>
      </c>
      <c r="G36">
        <v>5.1782873</v>
      </c>
      <c r="H36">
        <v>5.2653091999999999</v>
      </c>
      <c r="I36">
        <v>5.1759187999999998</v>
      </c>
      <c r="J36">
        <v>5.1808782999999998</v>
      </c>
      <c r="K36">
        <v>5.1630357</v>
      </c>
      <c r="L36" s="1">
        <v>5.2001949999999999</v>
      </c>
      <c r="M36" s="2">
        <f t="shared" si="0"/>
        <v>5.2153740300000013</v>
      </c>
      <c r="N36" s="3">
        <f>$M$9/M36</f>
        <v>2.6557381542201677</v>
      </c>
      <c r="O36" s="4">
        <f t="shared" si="3"/>
        <v>66.393453855504191</v>
      </c>
    </row>
    <row r="38" spans="1:15" x14ac:dyDescent="0.25">
      <c r="A38">
        <v>5</v>
      </c>
      <c r="B38" t="s">
        <v>11</v>
      </c>
      <c r="C38">
        <v>0.16632269999999999</v>
      </c>
      <c r="D38">
        <v>9.6463499999999994E-2</v>
      </c>
      <c r="E38">
        <v>7.6547699999999996E-2</v>
      </c>
      <c r="F38">
        <v>8.0660599999999999E-2</v>
      </c>
      <c r="G38">
        <v>8.2310800000000003E-2</v>
      </c>
      <c r="H38">
        <v>7.7110499999999998E-2</v>
      </c>
      <c r="I38">
        <v>7.7615199999999995E-2</v>
      </c>
      <c r="J38">
        <v>7.50474E-2</v>
      </c>
      <c r="K38">
        <v>7.4043300000000006E-2</v>
      </c>
      <c r="L38" s="1">
        <v>8.3006999999999997E-2</v>
      </c>
      <c r="M38" s="2">
        <f t="shared" si="0"/>
        <v>8.8912869999999991E-2</v>
      </c>
      <c r="N38" s="3">
        <f>$M$2/M38</f>
        <v>2.3039264169517866</v>
      </c>
      <c r="O38" s="4">
        <f>(N38/A38)*100</f>
        <v>46.078528339035728</v>
      </c>
    </row>
    <row r="39" spans="1:15" x14ac:dyDescent="0.25">
      <c r="A39">
        <v>5</v>
      </c>
      <c r="B39" t="s">
        <v>12</v>
      </c>
      <c r="C39">
        <v>0.13861519999999999</v>
      </c>
      <c r="D39">
        <v>0.13179569999999999</v>
      </c>
      <c r="E39">
        <v>0.1122269</v>
      </c>
      <c r="F39">
        <v>0.1207239</v>
      </c>
      <c r="G39">
        <v>0.12551370000000001</v>
      </c>
      <c r="H39">
        <v>0.11145819999999999</v>
      </c>
      <c r="I39">
        <v>0.1125227</v>
      </c>
      <c r="J39">
        <v>0.11119859999999999</v>
      </c>
      <c r="K39">
        <v>0.13514619999999999</v>
      </c>
      <c r="L39" s="1">
        <v>0.13084470000000001</v>
      </c>
      <c r="M39" s="2">
        <f t="shared" si="0"/>
        <v>0.12300458</v>
      </c>
      <c r="N39" s="3">
        <f>$M$3/M39</f>
        <v>3.1322363768893808</v>
      </c>
      <c r="O39" s="4">
        <f t="shared" ref="O39:O45" si="4">(N39/A39)*100</f>
        <v>62.644727537787617</v>
      </c>
    </row>
    <row r="40" spans="1:15" x14ac:dyDescent="0.25">
      <c r="A40">
        <v>5</v>
      </c>
      <c r="B40" t="s">
        <v>13</v>
      </c>
      <c r="C40">
        <v>0.29092390000000001</v>
      </c>
      <c r="D40">
        <v>0.241614</v>
      </c>
      <c r="E40">
        <v>0.24263100000000001</v>
      </c>
      <c r="F40">
        <v>0.27645570000000003</v>
      </c>
      <c r="G40">
        <v>0.25074849999999999</v>
      </c>
      <c r="H40">
        <v>0.24320030000000001</v>
      </c>
      <c r="I40">
        <v>0.24065520000000001</v>
      </c>
      <c r="J40">
        <v>0.2410234</v>
      </c>
      <c r="K40">
        <v>0.23928920000000001</v>
      </c>
      <c r="L40" s="1">
        <v>0.24280479999999999</v>
      </c>
      <c r="M40" s="2">
        <f t="shared" si="0"/>
        <v>0.25093460000000001</v>
      </c>
      <c r="N40" s="3">
        <f>$M$4/M40</f>
        <v>3.4761949129374745</v>
      </c>
      <c r="O40" s="4">
        <f t="shared" si="4"/>
        <v>69.523898258749497</v>
      </c>
    </row>
    <row r="41" spans="1:15" x14ac:dyDescent="0.25">
      <c r="A41">
        <v>5</v>
      </c>
      <c r="B41" t="s">
        <v>14</v>
      </c>
      <c r="C41">
        <v>0.30780279999999999</v>
      </c>
      <c r="D41">
        <v>0.25790380000000002</v>
      </c>
      <c r="E41">
        <v>0.26513249999999999</v>
      </c>
      <c r="F41">
        <v>0.2601907</v>
      </c>
      <c r="G41">
        <v>0.25797890000000001</v>
      </c>
      <c r="H41">
        <v>0.25700460000000003</v>
      </c>
      <c r="I41">
        <v>0.26160889999999998</v>
      </c>
      <c r="J41">
        <v>0.2556639</v>
      </c>
      <c r="K41">
        <v>0.2637157</v>
      </c>
      <c r="L41" s="1">
        <v>0.26683889999999999</v>
      </c>
      <c r="M41" s="2">
        <f t="shared" si="0"/>
        <v>0.26538406999999997</v>
      </c>
      <c r="N41" s="3">
        <f>$M$5/M41</f>
        <v>3.469416419757223</v>
      </c>
      <c r="O41" s="4">
        <f t="shared" si="4"/>
        <v>69.388328395144455</v>
      </c>
    </row>
    <row r="42" spans="1:15" x14ac:dyDescent="0.25">
      <c r="A42">
        <v>5</v>
      </c>
      <c r="B42" t="s">
        <v>15</v>
      </c>
      <c r="C42">
        <v>0.4288883</v>
      </c>
      <c r="D42">
        <v>0.42189359999999998</v>
      </c>
      <c r="E42">
        <v>0.42249209999999998</v>
      </c>
      <c r="F42">
        <v>0.42145899999999997</v>
      </c>
      <c r="G42">
        <v>0.42357850000000002</v>
      </c>
      <c r="H42">
        <v>0.48852030000000002</v>
      </c>
      <c r="I42">
        <v>0.4263923</v>
      </c>
      <c r="J42">
        <v>0.42055399999999998</v>
      </c>
      <c r="K42">
        <v>0.42026400000000003</v>
      </c>
      <c r="L42" s="1">
        <v>0.42345280000000002</v>
      </c>
      <c r="M42" s="2">
        <f t="shared" si="0"/>
        <v>0.42974949000000001</v>
      </c>
      <c r="N42" s="3">
        <f>$M$6/M42</f>
        <v>3.5803470761535983</v>
      </c>
      <c r="O42" s="4">
        <f t="shared" si="4"/>
        <v>71.606941523071967</v>
      </c>
    </row>
    <row r="43" spans="1:15" x14ac:dyDescent="0.25">
      <c r="A43">
        <v>5</v>
      </c>
      <c r="B43" t="s">
        <v>16</v>
      </c>
      <c r="C43">
        <v>0.92764290000000005</v>
      </c>
      <c r="D43">
        <v>0.91849440000000004</v>
      </c>
      <c r="E43">
        <v>0.91850920000000003</v>
      </c>
      <c r="F43">
        <v>0.90352379999999999</v>
      </c>
      <c r="G43">
        <v>0.92321850000000005</v>
      </c>
      <c r="H43">
        <v>0.93539479999999997</v>
      </c>
      <c r="I43">
        <v>1.0780224</v>
      </c>
      <c r="J43">
        <v>0.90234970000000003</v>
      </c>
      <c r="K43">
        <v>0.90800700000000001</v>
      </c>
      <c r="L43" s="1">
        <v>0.91361270000000006</v>
      </c>
      <c r="M43" s="2">
        <f t="shared" si="0"/>
        <v>0.93287754000000001</v>
      </c>
      <c r="N43" s="3">
        <f>$M$7/M43</f>
        <v>3.7204718209852072</v>
      </c>
      <c r="O43" s="4">
        <f t="shared" si="4"/>
        <v>74.40943641970415</v>
      </c>
    </row>
    <row r="44" spans="1:15" x14ac:dyDescent="0.25">
      <c r="A44">
        <v>5</v>
      </c>
      <c r="B44" t="s">
        <v>17</v>
      </c>
      <c r="C44">
        <v>1.6322599</v>
      </c>
      <c r="D44">
        <v>1.9087700999999999</v>
      </c>
      <c r="E44">
        <v>1.8953753</v>
      </c>
      <c r="F44">
        <v>1.8964810000000001</v>
      </c>
      <c r="G44">
        <v>1.8839064999999999</v>
      </c>
      <c r="H44">
        <v>1.9031894</v>
      </c>
      <c r="I44">
        <v>2.0204973000000002</v>
      </c>
      <c r="J44">
        <v>1.9091473999999999</v>
      </c>
      <c r="K44">
        <v>1.9052971999999999</v>
      </c>
      <c r="L44" s="1">
        <v>1.9164247000000001</v>
      </c>
      <c r="M44" s="2">
        <f t="shared" si="0"/>
        <v>1.8871348800000003</v>
      </c>
      <c r="N44" s="3">
        <f>$M$8/M44</f>
        <v>3.2506502979797602</v>
      </c>
      <c r="O44" s="4">
        <f t="shared" si="4"/>
        <v>65.013005959595205</v>
      </c>
    </row>
    <row r="45" spans="1:15" x14ac:dyDescent="0.25">
      <c r="A45">
        <v>5</v>
      </c>
      <c r="B45" t="s">
        <v>18</v>
      </c>
      <c r="C45">
        <v>3.6246691000000002</v>
      </c>
      <c r="D45">
        <v>4.3142731999999997</v>
      </c>
      <c r="E45">
        <v>4.2720836999999996</v>
      </c>
      <c r="F45">
        <v>4.2949498000000004</v>
      </c>
      <c r="G45">
        <v>4.2866581999999998</v>
      </c>
      <c r="H45">
        <v>4.2185724000000002</v>
      </c>
      <c r="I45">
        <v>4.2180150000000003</v>
      </c>
      <c r="J45">
        <v>4.2156307000000002</v>
      </c>
      <c r="K45">
        <v>4.2007408999999996</v>
      </c>
      <c r="L45" s="1">
        <v>4.1994249999999997</v>
      </c>
      <c r="M45" s="2">
        <f t="shared" si="0"/>
        <v>4.1845017999999996</v>
      </c>
      <c r="N45" s="3">
        <f>$M$9/M45</f>
        <v>3.3099920759981516</v>
      </c>
      <c r="O45" s="4">
        <f t="shared" si="4"/>
        <v>66.19984151996303</v>
      </c>
    </row>
    <row r="47" spans="1:15" x14ac:dyDescent="0.25">
      <c r="A47">
        <v>6</v>
      </c>
      <c r="B47" t="s">
        <v>11</v>
      </c>
      <c r="C47">
        <v>0.1659863</v>
      </c>
      <c r="D47">
        <v>8.18329E-2</v>
      </c>
      <c r="E47">
        <v>7.4598600000000001E-2</v>
      </c>
      <c r="F47">
        <v>6.6207799999999997E-2</v>
      </c>
      <c r="G47">
        <v>7.5575199999999995E-2</v>
      </c>
      <c r="H47">
        <v>6.0630900000000001E-2</v>
      </c>
      <c r="I47">
        <v>6.5181600000000006E-2</v>
      </c>
      <c r="J47">
        <v>6.7189899999999997E-2</v>
      </c>
      <c r="K47">
        <v>8.21881E-2</v>
      </c>
      <c r="L47" s="1">
        <v>6.8986099999999995E-2</v>
      </c>
      <c r="M47" s="2">
        <f t="shared" si="0"/>
        <v>8.0837740000000019E-2</v>
      </c>
      <c r="N47" s="3">
        <f>$M$2/M47</f>
        <v>2.5340726992120257</v>
      </c>
      <c r="O47" s="4">
        <f>(N47/A47)*100</f>
        <v>42.234544986867093</v>
      </c>
    </row>
    <row r="48" spans="1:15" x14ac:dyDescent="0.25">
      <c r="A48">
        <v>6</v>
      </c>
      <c r="B48" t="s">
        <v>12</v>
      </c>
      <c r="C48">
        <v>0.11828130000000001</v>
      </c>
      <c r="D48">
        <v>0.11987059999999999</v>
      </c>
      <c r="E48">
        <v>0.11205660000000001</v>
      </c>
      <c r="F48">
        <v>0.1149399</v>
      </c>
      <c r="G48">
        <v>0.12772520000000001</v>
      </c>
      <c r="H48">
        <v>0.11842709999999999</v>
      </c>
      <c r="I48">
        <v>0.1168828</v>
      </c>
      <c r="J48">
        <v>0.1089898</v>
      </c>
      <c r="K48">
        <v>0.1109266</v>
      </c>
      <c r="L48" s="1">
        <v>0.11240120000000001</v>
      </c>
      <c r="M48" s="2">
        <f t="shared" si="0"/>
        <v>0.11605011000000001</v>
      </c>
      <c r="N48" s="3">
        <f>$M$3/M48</f>
        <v>3.319940153438889</v>
      </c>
      <c r="O48" s="4">
        <f t="shared" ref="O48:O54" si="5">(N48/A48)*100</f>
        <v>55.332335890648153</v>
      </c>
    </row>
    <row r="49" spans="1:15" x14ac:dyDescent="0.25">
      <c r="A49">
        <v>6</v>
      </c>
      <c r="B49" t="s">
        <v>13</v>
      </c>
      <c r="C49">
        <v>0.25753619999999999</v>
      </c>
      <c r="D49">
        <v>0.22498940000000001</v>
      </c>
      <c r="E49">
        <v>0.26129669999999999</v>
      </c>
      <c r="F49">
        <v>0.22686890000000001</v>
      </c>
      <c r="G49">
        <v>0.25770700000000002</v>
      </c>
      <c r="H49">
        <v>0.26162439999999998</v>
      </c>
      <c r="I49">
        <v>0.22751959999999999</v>
      </c>
      <c r="J49">
        <v>0.2266359</v>
      </c>
      <c r="K49">
        <v>0.2231967</v>
      </c>
      <c r="L49" s="1">
        <v>0.2257942</v>
      </c>
      <c r="M49" s="2">
        <f t="shared" si="0"/>
        <v>0.23931690000000003</v>
      </c>
      <c r="N49" s="3">
        <f>$M$4/M49</f>
        <v>3.6449476823408622</v>
      </c>
      <c r="O49" s="4">
        <f t="shared" si="5"/>
        <v>60.749128039014366</v>
      </c>
    </row>
    <row r="50" spans="1:15" x14ac:dyDescent="0.25">
      <c r="A50">
        <v>6</v>
      </c>
      <c r="B50" t="s">
        <v>14</v>
      </c>
      <c r="C50">
        <v>0.26786209999999999</v>
      </c>
      <c r="D50">
        <v>0.26367459999999998</v>
      </c>
      <c r="E50">
        <v>0.27333380000000002</v>
      </c>
      <c r="F50">
        <v>0.28974719999999998</v>
      </c>
      <c r="G50">
        <v>0.28164060000000002</v>
      </c>
      <c r="H50">
        <v>0.2760167</v>
      </c>
      <c r="I50">
        <v>0.2785667</v>
      </c>
      <c r="J50">
        <v>0.2783757</v>
      </c>
      <c r="K50">
        <v>0.27317580000000002</v>
      </c>
      <c r="L50" s="1">
        <v>0.26904230000000001</v>
      </c>
      <c r="M50" s="2">
        <f t="shared" si="0"/>
        <v>0.27514355000000001</v>
      </c>
      <c r="N50" s="3">
        <f>$M$5/M50</f>
        <v>3.3463544756909624</v>
      </c>
      <c r="O50" s="4">
        <f t="shared" si="5"/>
        <v>55.772574594849381</v>
      </c>
    </row>
    <row r="51" spans="1:15" x14ac:dyDescent="0.25">
      <c r="A51">
        <v>6</v>
      </c>
      <c r="B51" t="s">
        <v>15</v>
      </c>
      <c r="C51">
        <v>0.4533084</v>
      </c>
      <c r="D51">
        <v>0.46138170000000001</v>
      </c>
      <c r="E51">
        <v>0.46093260000000003</v>
      </c>
      <c r="F51">
        <v>0.36898720000000002</v>
      </c>
      <c r="G51">
        <v>0.36944260000000001</v>
      </c>
      <c r="H51">
        <v>0.4499146</v>
      </c>
      <c r="I51">
        <v>0.3690581</v>
      </c>
      <c r="J51">
        <v>0.36937930000000002</v>
      </c>
      <c r="K51">
        <v>0.3674364</v>
      </c>
      <c r="L51" s="1">
        <v>0.38860879999999998</v>
      </c>
      <c r="M51" s="2">
        <f t="shared" si="0"/>
        <v>0.40584496999999997</v>
      </c>
      <c r="N51" s="3">
        <f>$M$6/M51</f>
        <v>3.7912317356058405</v>
      </c>
      <c r="O51" s="4">
        <f t="shared" si="5"/>
        <v>63.18719559343068</v>
      </c>
    </row>
    <row r="52" spans="1:15" x14ac:dyDescent="0.25">
      <c r="A52">
        <v>6</v>
      </c>
      <c r="B52" t="s">
        <v>16</v>
      </c>
      <c r="C52">
        <v>0.80394620000000006</v>
      </c>
      <c r="D52">
        <v>0.8017204</v>
      </c>
      <c r="E52">
        <v>0.795211</v>
      </c>
      <c r="F52">
        <v>0.78578029999999999</v>
      </c>
      <c r="G52">
        <v>0.7925314</v>
      </c>
      <c r="H52">
        <v>0.90695369999999997</v>
      </c>
      <c r="I52">
        <v>0.78770739999999995</v>
      </c>
      <c r="J52">
        <v>0.79001350000000004</v>
      </c>
      <c r="K52">
        <v>0.7866126</v>
      </c>
      <c r="L52" s="1">
        <v>0.79287379999999996</v>
      </c>
      <c r="M52" s="2">
        <f t="shared" si="0"/>
        <v>0.80433503000000006</v>
      </c>
      <c r="N52" s="3">
        <f>$M$7/M52</f>
        <v>4.3150484195621823</v>
      </c>
      <c r="O52" s="4">
        <f t="shared" si="5"/>
        <v>71.917473659369705</v>
      </c>
    </row>
    <row r="53" spans="1:15" x14ac:dyDescent="0.25">
      <c r="A53">
        <v>6</v>
      </c>
      <c r="B53" t="s">
        <v>17</v>
      </c>
      <c r="C53">
        <v>1.7553489</v>
      </c>
      <c r="D53">
        <v>1.3980973000000001</v>
      </c>
      <c r="E53">
        <v>1.3980011999999999</v>
      </c>
      <c r="F53">
        <v>1.3927716000000001</v>
      </c>
      <c r="G53">
        <v>1.386287</v>
      </c>
      <c r="H53">
        <v>1.3941363</v>
      </c>
      <c r="I53">
        <v>1.3831751999999999</v>
      </c>
      <c r="J53">
        <v>1.3912876000000001</v>
      </c>
      <c r="K53">
        <v>1.4002502999999999</v>
      </c>
      <c r="L53" s="1">
        <v>1.3924266999999999</v>
      </c>
      <c r="M53" s="2">
        <f t="shared" si="0"/>
        <v>1.4291782100000001</v>
      </c>
      <c r="N53" s="3">
        <f>$M$8/M53</f>
        <v>4.2922677641439826</v>
      </c>
      <c r="O53" s="4">
        <f t="shared" si="5"/>
        <v>71.537796069066374</v>
      </c>
    </row>
    <row r="54" spans="1:15" x14ac:dyDescent="0.25">
      <c r="A54">
        <v>6</v>
      </c>
      <c r="B54" t="s">
        <v>18</v>
      </c>
      <c r="C54">
        <v>3.6642584999999999</v>
      </c>
      <c r="D54">
        <v>3.137165</v>
      </c>
      <c r="E54">
        <v>3.1338303999999999</v>
      </c>
      <c r="F54">
        <v>3.1325509999999999</v>
      </c>
      <c r="G54">
        <v>3.2535949</v>
      </c>
      <c r="H54">
        <v>3.0929129</v>
      </c>
      <c r="I54">
        <v>3.1141136999999999</v>
      </c>
      <c r="J54">
        <v>3.0960839999999998</v>
      </c>
      <c r="K54">
        <v>3.0837132</v>
      </c>
      <c r="L54" s="1">
        <v>3.1300837000000001</v>
      </c>
      <c r="M54" s="2">
        <f t="shared" si="0"/>
        <v>3.1838307299999995</v>
      </c>
      <c r="N54" s="3">
        <f>$M$9/M54</f>
        <v>4.3503153825015071</v>
      </c>
      <c r="O54" s="4">
        <f t="shared" si="5"/>
        <v>72.505256375025112</v>
      </c>
    </row>
    <row r="55" spans="1:15" x14ac:dyDescent="0.25">
      <c r="A55" t="s">
        <v>20</v>
      </c>
      <c r="B55" t="s">
        <v>24</v>
      </c>
      <c r="D55" t="s">
        <v>25</v>
      </c>
    </row>
    <row r="56" spans="1:15" x14ac:dyDescent="0.25">
      <c r="A56">
        <v>10</v>
      </c>
      <c r="B56" t="s">
        <v>11</v>
      </c>
      <c r="C56">
        <v>0.3813376</v>
      </c>
      <c r="D56">
        <v>0.19712550000000001</v>
      </c>
      <c r="E56">
        <v>0.19619590000000001</v>
      </c>
      <c r="M56" s="2">
        <f t="shared" si="0"/>
        <v>0.25821966666666668</v>
      </c>
      <c r="N56" s="3">
        <f>$M$2/M56</f>
        <v>0.79331180558155256</v>
      </c>
      <c r="O56" s="4">
        <f>(N56/A56)*100</f>
        <v>7.9331180558155259</v>
      </c>
    </row>
    <row r="57" spans="1:15" x14ac:dyDescent="0.25">
      <c r="A57">
        <v>10</v>
      </c>
      <c r="B57" t="s">
        <v>12</v>
      </c>
      <c r="C57">
        <v>0.3746332</v>
      </c>
      <c r="D57">
        <v>0.37285430000000003</v>
      </c>
      <c r="E57">
        <v>0.37268980000000002</v>
      </c>
      <c r="M57" s="2">
        <f t="shared" si="0"/>
        <v>0.37339243333333338</v>
      </c>
      <c r="N57" s="3">
        <f>$M$3/M57</f>
        <v>1.031835103246602</v>
      </c>
      <c r="O57" s="4">
        <f t="shared" ref="O57:O63" si="6">(N57/A57)*100</f>
        <v>10.318351032466019</v>
      </c>
    </row>
    <row r="58" spans="1:15" x14ac:dyDescent="0.25">
      <c r="A58">
        <v>10</v>
      </c>
      <c r="B58" t="s">
        <v>13</v>
      </c>
      <c r="C58">
        <v>0.84560760000000001</v>
      </c>
      <c r="D58">
        <v>0.86173040000000001</v>
      </c>
      <c r="E58">
        <v>0.85782579999999997</v>
      </c>
      <c r="M58" s="2">
        <f t="shared" si="0"/>
        <v>0.8550546</v>
      </c>
      <c r="N58" s="3">
        <f>$M$4/M58</f>
        <v>1.0201659402803049</v>
      </c>
      <c r="O58" s="4">
        <f t="shared" si="6"/>
        <v>10.201659402803049</v>
      </c>
    </row>
    <row r="59" spans="1:15" x14ac:dyDescent="0.25">
      <c r="A59">
        <v>10</v>
      </c>
      <c r="B59" t="s">
        <v>14</v>
      </c>
      <c r="C59">
        <v>0.89315149999999999</v>
      </c>
      <c r="D59">
        <v>0.90086069999999996</v>
      </c>
      <c r="E59">
        <v>0.91509110000000005</v>
      </c>
      <c r="M59" s="2">
        <f t="shared" si="0"/>
        <v>0.90303443333333344</v>
      </c>
      <c r="N59" s="3">
        <f>$M$5/M59</f>
        <v>1.019593291256188</v>
      </c>
      <c r="O59" s="4">
        <f t="shared" si="6"/>
        <v>10.195932912561881</v>
      </c>
    </row>
    <row r="60" spans="1:15" x14ac:dyDescent="0.25">
      <c r="A60">
        <v>10</v>
      </c>
      <c r="B60" t="s">
        <v>15</v>
      </c>
      <c r="C60">
        <v>1.4838666</v>
      </c>
      <c r="D60">
        <v>1.4826642000000001</v>
      </c>
      <c r="E60">
        <v>1.4953258</v>
      </c>
      <c r="M60" s="2">
        <f t="shared" si="0"/>
        <v>1.4872855333333332</v>
      </c>
      <c r="N60" s="3">
        <f>$M$6/M60</f>
        <v>1.0345372798399664</v>
      </c>
      <c r="O60" s="4">
        <f t="shared" si="6"/>
        <v>10.345372798399662</v>
      </c>
    </row>
    <row r="61" spans="1:15" x14ac:dyDescent="0.25">
      <c r="A61">
        <v>10</v>
      </c>
      <c r="B61" t="s">
        <v>16</v>
      </c>
      <c r="C61">
        <v>3.3407697999999999</v>
      </c>
      <c r="D61">
        <v>3.4040716999999998</v>
      </c>
      <c r="E61">
        <v>3.4020410000000001</v>
      </c>
      <c r="M61" s="2">
        <f t="shared" si="0"/>
        <v>3.3822941666666666</v>
      </c>
      <c r="N61" s="3">
        <f>$M$7/M61</f>
        <v>1.0261510173198518</v>
      </c>
      <c r="O61" s="4">
        <f t="shared" si="6"/>
        <v>10.261510173198518</v>
      </c>
    </row>
    <row r="62" spans="1:15" x14ac:dyDescent="0.25">
      <c r="A62">
        <v>10</v>
      </c>
      <c r="B62" t="s">
        <v>17</v>
      </c>
      <c r="C62">
        <v>6.0011393000000002</v>
      </c>
      <c r="D62">
        <v>5.9108213999999997</v>
      </c>
      <c r="E62">
        <v>5.9090255999999997</v>
      </c>
      <c r="M62" s="2">
        <f t="shared" si="0"/>
        <v>5.9403287666666671</v>
      </c>
      <c r="N62" s="3">
        <f>$M$8/M62</f>
        <v>1.0326727359641144</v>
      </c>
      <c r="O62" s="4">
        <f t="shared" si="6"/>
        <v>10.326727359641144</v>
      </c>
    </row>
    <row r="63" spans="1:15" x14ac:dyDescent="0.25">
      <c r="A63">
        <v>10</v>
      </c>
      <c r="B63" t="s">
        <v>18</v>
      </c>
      <c r="C63">
        <v>13.3695491</v>
      </c>
      <c r="D63">
        <v>13.4430745</v>
      </c>
      <c r="E63">
        <v>13.3274097</v>
      </c>
      <c r="M63" s="2">
        <f t="shared" si="0"/>
        <v>13.380011099999999</v>
      </c>
      <c r="N63" s="3">
        <f>$M$9/M63</f>
        <v>1.0351761068419443</v>
      </c>
      <c r="O63" s="4">
        <f t="shared" si="6"/>
        <v>10.351761068419444</v>
      </c>
    </row>
    <row r="64" spans="1:15" x14ac:dyDescent="0.25">
      <c r="A64" t="s">
        <v>26</v>
      </c>
    </row>
    <row r="65" spans="1:15" x14ac:dyDescent="0.25">
      <c r="A65">
        <v>1280</v>
      </c>
      <c r="B65" t="s">
        <v>11</v>
      </c>
      <c r="C65">
        <v>0.3813376</v>
      </c>
      <c r="D65">
        <v>0.19712550000000001</v>
      </c>
      <c r="E65">
        <v>0.19619590000000001</v>
      </c>
      <c r="M65" s="2">
        <f t="shared" ref="M65:M72" si="7">AVERAGE(C65:L65)</f>
        <v>0.25821966666666668</v>
      </c>
      <c r="N65" s="3">
        <f>$M$2/M65</f>
        <v>0.79331180558155256</v>
      </c>
      <c r="O65" s="4">
        <f>(N65/A65)*100</f>
        <v>6.1977484811058796E-2</v>
      </c>
    </row>
    <row r="66" spans="1:15" x14ac:dyDescent="0.25">
      <c r="A66">
        <v>1280</v>
      </c>
      <c r="B66" t="s">
        <v>12</v>
      </c>
      <c r="C66">
        <v>0.3746332</v>
      </c>
      <c r="D66">
        <v>0.37285430000000003</v>
      </c>
      <c r="E66">
        <v>0.37268980000000002</v>
      </c>
      <c r="M66" s="2">
        <f t="shared" si="7"/>
        <v>0.37339243333333338</v>
      </c>
      <c r="N66" s="3">
        <f>$M$3/M66</f>
        <v>1.031835103246602</v>
      </c>
      <c r="O66" s="4">
        <f t="shared" ref="O66:O72" si="8">(N66/A66)*100</f>
        <v>8.0612117441140774E-2</v>
      </c>
    </row>
    <row r="67" spans="1:15" x14ac:dyDescent="0.25">
      <c r="A67">
        <v>1280</v>
      </c>
      <c r="B67" t="s">
        <v>13</v>
      </c>
      <c r="C67">
        <v>0.84560760000000001</v>
      </c>
      <c r="D67">
        <v>0.86173040000000001</v>
      </c>
      <c r="E67">
        <v>0.85782579999999997</v>
      </c>
      <c r="M67" s="2">
        <f t="shared" si="7"/>
        <v>0.8550546</v>
      </c>
      <c r="N67" s="3">
        <f>$M$4/M67</f>
        <v>1.0201659402803049</v>
      </c>
      <c r="O67" s="4">
        <f t="shared" si="8"/>
        <v>7.970046408439882E-2</v>
      </c>
    </row>
    <row r="68" spans="1:15" x14ac:dyDescent="0.25">
      <c r="A68">
        <v>1280</v>
      </c>
      <c r="B68" t="s">
        <v>14</v>
      </c>
      <c r="C68">
        <v>0.89315149999999999</v>
      </c>
      <c r="D68">
        <v>0.90086069999999996</v>
      </c>
      <c r="E68">
        <v>0.91509110000000005</v>
      </c>
      <c r="M68" s="2">
        <f t="shared" si="7"/>
        <v>0.90303443333333344</v>
      </c>
      <c r="N68" s="3">
        <f>$M$5/M68</f>
        <v>1.019593291256188</v>
      </c>
      <c r="O68" s="4">
        <f t="shared" si="8"/>
        <v>7.9655725879389697E-2</v>
      </c>
    </row>
    <row r="69" spans="1:15" x14ac:dyDescent="0.25">
      <c r="A69">
        <v>1280</v>
      </c>
      <c r="B69" t="s">
        <v>15</v>
      </c>
      <c r="C69">
        <v>1.4838666</v>
      </c>
      <c r="D69">
        <v>1.4826642000000001</v>
      </c>
      <c r="E69">
        <v>1.4953258</v>
      </c>
      <c r="M69" s="2">
        <f t="shared" si="7"/>
        <v>1.4872855333333332</v>
      </c>
      <c r="N69" s="3">
        <f>$M$6/M69</f>
        <v>1.0345372798399664</v>
      </c>
      <c r="O69" s="4">
        <f t="shared" si="8"/>
        <v>8.0823224987497361E-2</v>
      </c>
    </row>
    <row r="70" spans="1:15" x14ac:dyDescent="0.25">
      <c r="A70">
        <v>1280</v>
      </c>
      <c r="B70" t="s">
        <v>16</v>
      </c>
      <c r="C70">
        <v>3.3407697999999999</v>
      </c>
      <c r="D70">
        <v>3.4040716999999998</v>
      </c>
      <c r="E70">
        <v>3.4020410000000001</v>
      </c>
      <c r="M70" s="2">
        <f t="shared" si="7"/>
        <v>3.3822941666666666</v>
      </c>
      <c r="N70" s="3">
        <f>$M$7/M70</f>
        <v>1.0261510173198518</v>
      </c>
      <c r="O70" s="4">
        <f t="shared" si="8"/>
        <v>8.0168048228113423E-2</v>
      </c>
    </row>
    <row r="71" spans="1:15" x14ac:dyDescent="0.25">
      <c r="A71">
        <v>1280</v>
      </c>
      <c r="B71" t="s">
        <v>17</v>
      </c>
      <c r="C71">
        <v>6.0011393000000002</v>
      </c>
      <c r="D71">
        <v>5.9108213999999997</v>
      </c>
      <c r="E71">
        <v>5.9090255999999997</v>
      </c>
      <c r="M71" s="2">
        <f t="shared" si="7"/>
        <v>5.9403287666666671</v>
      </c>
      <c r="N71" s="3">
        <f>$M$8/M71</f>
        <v>1.0326727359641144</v>
      </c>
      <c r="O71" s="4">
        <f t="shared" si="8"/>
        <v>8.0677557497196434E-2</v>
      </c>
    </row>
    <row r="72" spans="1:15" x14ac:dyDescent="0.25">
      <c r="A72">
        <v>1280</v>
      </c>
      <c r="B72" t="s">
        <v>18</v>
      </c>
      <c r="C72">
        <v>13.3695491</v>
      </c>
      <c r="D72">
        <v>13.4430745</v>
      </c>
      <c r="E72">
        <v>13.3274097</v>
      </c>
      <c r="M72" s="2">
        <f t="shared" si="7"/>
        <v>13.380011099999999</v>
      </c>
      <c r="N72" s="3">
        <f>$M$9/M72</f>
        <v>1.0351761068419443</v>
      </c>
      <c r="O72" s="4">
        <f t="shared" si="8"/>
        <v>8.0873133347026907E-2</v>
      </c>
    </row>
  </sheetData>
  <conditionalFormatting sqref="A55:A63 A65:A72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 Kloppers</dc:creator>
  <cp:lastModifiedBy>Joab Kloppers</cp:lastModifiedBy>
  <dcterms:created xsi:type="dcterms:W3CDTF">2026-03-09T17:25:13Z</dcterms:created>
  <dcterms:modified xsi:type="dcterms:W3CDTF">2026-03-09T17:42:47Z</dcterms:modified>
</cp:coreProperties>
</file>